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8" max="8" width="20.13"/>
    <col customWidth="1" min="9" max="9" width="53.0"/>
  </cols>
  <sheetData>
    <row r="1">
      <c r="A1" s="1" t="str">
        <f>IFERROR(__xludf.DUMMYFUNCTION("GOOGLEFINANCE(""NASDAQ:TSLA"",""all"",DATE(2022,9,28),TODAY(),""DAILY"")"),"Date")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f>IFERROR(__xludf.DUMMYFUNCTION("""COMPUTED_VALUE"""),44832.66666666667)</f>
        <v>44832.66667</v>
      </c>
      <c r="B2" s="3">
        <f>IFERROR(__xludf.DUMMYFUNCTION("""COMPUTED_VALUE"""),283.08)</f>
        <v>283.08</v>
      </c>
      <c r="C2" s="3">
        <f>IFERROR(__xludf.DUMMYFUNCTION("""COMPUTED_VALUE"""),289.0)</f>
        <v>289</v>
      </c>
      <c r="D2" s="3">
        <f>IFERROR(__xludf.DUMMYFUNCTION("""COMPUTED_VALUE"""),277.57)</f>
        <v>277.57</v>
      </c>
      <c r="E2" s="3">
        <f>IFERROR(__xludf.DUMMYFUNCTION("""COMPUTED_VALUE"""),287.81)</f>
        <v>287.81</v>
      </c>
      <c r="F2" s="3">
        <f>IFERROR(__xludf.DUMMYFUNCTION("""COMPUTED_VALUE"""),5.4664809E7)</f>
        <v>54664809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>
        <f>IFERROR(__xludf.DUMMYFUNCTION("""COMPUTED_VALUE"""),44833.66666666667)</f>
        <v>44833.66667</v>
      </c>
      <c r="B3" s="3">
        <f>IFERROR(__xludf.DUMMYFUNCTION("""COMPUTED_VALUE"""),282.76)</f>
        <v>282.76</v>
      </c>
      <c r="C3" s="3">
        <f>IFERROR(__xludf.DUMMYFUNCTION("""COMPUTED_VALUE"""),283.65)</f>
        <v>283.65</v>
      </c>
      <c r="D3" s="3">
        <f>IFERROR(__xludf.DUMMYFUNCTION("""COMPUTED_VALUE"""),265.78)</f>
        <v>265.78</v>
      </c>
      <c r="E3" s="3">
        <f>IFERROR(__xludf.DUMMYFUNCTION("""COMPUTED_VALUE"""),268.21)</f>
        <v>268.21</v>
      </c>
      <c r="F3" s="3">
        <f>IFERROR(__xludf.DUMMYFUNCTION("""COMPUTED_VALUE"""),7.7620642E7)</f>
        <v>77620642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>
        <f>IFERROR(__xludf.DUMMYFUNCTION("""COMPUTED_VALUE"""),44834.66666666667)</f>
        <v>44834.66667</v>
      </c>
      <c r="B4" s="3">
        <f>IFERROR(__xludf.DUMMYFUNCTION("""COMPUTED_VALUE"""),266.15)</f>
        <v>266.15</v>
      </c>
      <c r="C4" s="3">
        <f>IFERROR(__xludf.DUMMYFUNCTION("""COMPUTED_VALUE"""),275.57)</f>
        <v>275.57</v>
      </c>
      <c r="D4" s="3">
        <f>IFERROR(__xludf.DUMMYFUNCTION("""COMPUTED_VALUE"""),262.47)</f>
        <v>262.47</v>
      </c>
      <c r="E4" s="3">
        <f>IFERROR(__xludf.DUMMYFUNCTION("""COMPUTED_VALUE"""),265.25)</f>
        <v>265.25</v>
      </c>
      <c r="F4" s="3">
        <f>IFERROR(__xludf.DUMMYFUNCTION("""COMPUTED_VALUE"""),6.7726598E7)</f>
        <v>67726598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>
        <f>IFERROR(__xludf.DUMMYFUNCTION("""COMPUTED_VALUE"""),44837.66666666667)</f>
        <v>44837.66667</v>
      </c>
      <c r="B5" s="3">
        <f>IFERROR(__xludf.DUMMYFUNCTION("""COMPUTED_VALUE"""),254.5)</f>
        <v>254.5</v>
      </c>
      <c r="C5" s="3">
        <f>IFERROR(__xludf.DUMMYFUNCTION("""COMPUTED_VALUE"""),255.16)</f>
        <v>255.16</v>
      </c>
      <c r="D5" s="3">
        <f>IFERROR(__xludf.DUMMYFUNCTION("""COMPUTED_VALUE"""),241.01)</f>
        <v>241.01</v>
      </c>
      <c r="E5" s="3">
        <f>IFERROR(__xludf.DUMMYFUNCTION("""COMPUTED_VALUE"""),242.4)</f>
        <v>242.4</v>
      </c>
      <c r="F5" s="3">
        <f>IFERROR(__xludf.DUMMYFUNCTION("""COMPUTED_VALUE"""),9.8363541E7)</f>
        <v>98363541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>
        <f>IFERROR(__xludf.DUMMYFUNCTION("""COMPUTED_VALUE"""),44838.66666666667)</f>
        <v>44838.66667</v>
      </c>
      <c r="B6" s="3">
        <f>IFERROR(__xludf.DUMMYFUNCTION("""COMPUTED_VALUE"""),250.52)</f>
        <v>250.52</v>
      </c>
      <c r="C6" s="3">
        <f>IFERROR(__xludf.DUMMYFUNCTION("""COMPUTED_VALUE"""),257.5)</f>
        <v>257.5</v>
      </c>
      <c r="D6" s="3">
        <f>IFERROR(__xludf.DUMMYFUNCTION("""COMPUTED_VALUE"""),242.01)</f>
        <v>242.01</v>
      </c>
      <c r="E6" s="3">
        <f>IFERROR(__xludf.DUMMYFUNCTION("""COMPUTED_VALUE"""),249.44)</f>
        <v>249.44</v>
      </c>
      <c r="F6" s="3">
        <f>IFERROR(__xludf.DUMMYFUNCTION("""COMPUTED_VALUE"""),1.09578535E8)</f>
        <v>109578535</v>
      </c>
      <c r="G6" s="3"/>
      <c r="H6" s="4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>
        <f>IFERROR(__xludf.DUMMYFUNCTION("""COMPUTED_VALUE"""),44839.66666666667)</f>
        <v>44839.66667</v>
      </c>
      <c r="B7" s="3">
        <f>IFERROR(__xludf.DUMMYFUNCTION("""COMPUTED_VALUE"""),245.01)</f>
        <v>245.01</v>
      </c>
      <c r="C7" s="3">
        <f>IFERROR(__xludf.DUMMYFUNCTION("""COMPUTED_VALUE"""),246.67)</f>
        <v>246.67</v>
      </c>
      <c r="D7" s="3">
        <f>IFERROR(__xludf.DUMMYFUNCTION("""COMPUTED_VALUE"""),233.27)</f>
        <v>233.27</v>
      </c>
      <c r="E7" s="3">
        <f>IFERROR(__xludf.DUMMYFUNCTION("""COMPUTED_VALUE"""),240.81)</f>
        <v>240.81</v>
      </c>
      <c r="F7" s="3">
        <f>IFERROR(__xludf.DUMMYFUNCTION("""COMPUTED_VALUE"""),8.6982673E7)</f>
        <v>86982673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>
        <f>IFERROR(__xludf.DUMMYFUNCTION("""COMPUTED_VALUE"""),44840.66666666667)</f>
        <v>44840.66667</v>
      </c>
      <c r="B8" s="3">
        <f>IFERROR(__xludf.DUMMYFUNCTION("""COMPUTED_VALUE"""),239.44)</f>
        <v>239.44</v>
      </c>
      <c r="C8" s="3">
        <f>IFERROR(__xludf.DUMMYFUNCTION("""COMPUTED_VALUE"""),244.58)</f>
        <v>244.58</v>
      </c>
      <c r="D8" s="3">
        <f>IFERROR(__xludf.DUMMYFUNCTION("""COMPUTED_VALUE"""),235.35)</f>
        <v>235.35</v>
      </c>
      <c r="E8" s="3">
        <f>IFERROR(__xludf.DUMMYFUNCTION("""COMPUTED_VALUE"""),238.13)</f>
        <v>238.13</v>
      </c>
      <c r="F8" s="3">
        <f>IFERROR(__xludf.DUMMYFUNCTION("""COMPUTED_VALUE"""),6.9298437E7)</f>
        <v>69298437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>
        <f>IFERROR(__xludf.DUMMYFUNCTION("""COMPUTED_VALUE"""),44841.66666666667)</f>
        <v>44841.66667</v>
      </c>
      <c r="B9" s="3">
        <f>IFERROR(__xludf.DUMMYFUNCTION("""COMPUTED_VALUE"""),233.94)</f>
        <v>233.94</v>
      </c>
      <c r="C9" s="3">
        <f>IFERROR(__xludf.DUMMYFUNCTION("""COMPUTED_VALUE"""),234.57)</f>
        <v>234.57</v>
      </c>
      <c r="D9" s="3">
        <f>IFERROR(__xludf.DUMMYFUNCTION("""COMPUTED_VALUE"""),222.02)</f>
        <v>222.02</v>
      </c>
      <c r="E9" s="3">
        <f>IFERROR(__xludf.DUMMYFUNCTION("""COMPUTED_VALUE"""),223.07)</f>
        <v>223.07</v>
      </c>
      <c r="F9" s="3">
        <f>IFERROR(__xludf.DUMMYFUNCTION("""COMPUTED_VALUE"""),8.39168E7)</f>
        <v>83916800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>
        <f>IFERROR(__xludf.DUMMYFUNCTION("""COMPUTED_VALUE"""),44844.66666666667)</f>
        <v>44844.66667</v>
      </c>
      <c r="B10" s="3">
        <f>IFERROR(__xludf.DUMMYFUNCTION("""COMPUTED_VALUE"""),223.93)</f>
        <v>223.93</v>
      </c>
      <c r="C10" s="3">
        <f>IFERROR(__xludf.DUMMYFUNCTION("""COMPUTED_VALUE"""),226.99)</f>
        <v>226.99</v>
      </c>
      <c r="D10" s="3">
        <f>IFERROR(__xludf.DUMMYFUNCTION("""COMPUTED_VALUE"""),218.36)</f>
        <v>218.36</v>
      </c>
      <c r="E10" s="3">
        <f>IFERROR(__xludf.DUMMYFUNCTION("""COMPUTED_VALUE"""),222.96)</f>
        <v>222.96</v>
      </c>
      <c r="F10" s="3">
        <f>IFERROR(__xludf.DUMMYFUNCTION("""COMPUTED_VALUE"""),6.7925018E7)</f>
        <v>67925018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>
        <f>IFERROR(__xludf.DUMMYFUNCTION("""COMPUTED_VALUE"""),44845.66666666667)</f>
        <v>44845.66667</v>
      </c>
      <c r="B11" s="3">
        <f>IFERROR(__xludf.DUMMYFUNCTION("""COMPUTED_VALUE"""),220.95)</f>
        <v>220.95</v>
      </c>
      <c r="C11" s="3">
        <f>IFERROR(__xludf.DUMMYFUNCTION("""COMPUTED_VALUE"""),225.75)</f>
        <v>225.75</v>
      </c>
      <c r="D11" s="3">
        <f>IFERROR(__xludf.DUMMYFUNCTION("""COMPUTED_VALUE"""),215.0)</f>
        <v>215</v>
      </c>
      <c r="E11" s="3">
        <f>IFERROR(__xludf.DUMMYFUNCTION("""COMPUTED_VALUE"""),216.5)</f>
        <v>216.5</v>
      </c>
      <c r="F11" s="3">
        <f>IFERROR(__xludf.DUMMYFUNCTION("""COMPUTED_VALUE"""),7.7013202E7)</f>
        <v>77013202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>
        <f>IFERROR(__xludf.DUMMYFUNCTION("""COMPUTED_VALUE"""),44846.66666666667)</f>
        <v>44846.66667</v>
      </c>
      <c r="B12" s="3">
        <f>IFERROR(__xludf.DUMMYFUNCTION("""COMPUTED_VALUE"""),215.33)</f>
        <v>215.33</v>
      </c>
      <c r="C12" s="3">
        <f>IFERROR(__xludf.DUMMYFUNCTION("""COMPUTED_VALUE"""),219.3)</f>
        <v>219.3</v>
      </c>
      <c r="D12" s="3">
        <f>IFERROR(__xludf.DUMMYFUNCTION("""COMPUTED_VALUE"""),211.51)</f>
        <v>211.51</v>
      </c>
      <c r="E12" s="3">
        <f>IFERROR(__xludf.DUMMYFUNCTION("""COMPUTED_VALUE"""),217.24)</f>
        <v>217.24</v>
      </c>
      <c r="F12" s="3">
        <f>IFERROR(__xludf.DUMMYFUNCTION("""COMPUTED_VALUE"""),6.6860699E7)</f>
        <v>66860699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>
        <f>IFERROR(__xludf.DUMMYFUNCTION("""COMPUTED_VALUE"""),44847.66666666667)</f>
        <v>44847.66667</v>
      </c>
      <c r="B13" s="3">
        <f>IFERROR(__xludf.DUMMYFUNCTION("""COMPUTED_VALUE"""),208.3)</f>
        <v>208.3</v>
      </c>
      <c r="C13" s="3">
        <f>IFERROR(__xludf.DUMMYFUNCTION("""COMPUTED_VALUE"""),222.99)</f>
        <v>222.99</v>
      </c>
      <c r="D13" s="3">
        <f>IFERROR(__xludf.DUMMYFUNCTION("""COMPUTED_VALUE"""),206.22)</f>
        <v>206.22</v>
      </c>
      <c r="E13" s="3">
        <f>IFERROR(__xludf.DUMMYFUNCTION("""COMPUTED_VALUE"""),221.72)</f>
        <v>221.72</v>
      </c>
      <c r="F13" s="3">
        <f>IFERROR(__xludf.DUMMYFUNCTION("""COMPUTED_VALUE"""),9.1483045E7)</f>
        <v>91483045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>
        <f>IFERROR(__xludf.DUMMYFUNCTION("""COMPUTED_VALUE"""),44848.66666666667)</f>
        <v>44848.66667</v>
      </c>
      <c r="B14" s="3">
        <f>IFERROR(__xludf.DUMMYFUNCTION("""COMPUTED_VALUE"""),224.01)</f>
        <v>224.01</v>
      </c>
      <c r="C14" s="3">
        <f>IFERROR(__xludf.DUMMYFUNCTION("""COMPUTED_VALUE"""),226.26)</f>
        <v>226.26</v>
      </c>
      <c r="D14" s="3">
        <f>IFERROR(__xludf.DUMMYFUNCTION("""COMPUTED_VALUE"""),204.16)</f>
        <v>204.16</v>
      </c>
      <c r="E14" s="3">
        <f>IFERROR(__xludf.DUMMYFUNCTION("""COMPUTED_VALUE"""),204.99)</f>
        <v>204.99</v>
      </c>
      <c r="F14" s="3">
        <f>IFERROR(__xludf.DUMMYFUNCTION("""COMPUTED_VALUE"""),9.4124511E7)</f>
        <v>94124511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>
        <f>IFERROR(__xludf.DUMMYFUNCTION("""COMPUTED_VALUE"""),44851.66666666667)</f>
        <v>44851.66667</v>
      </c>
      <c r="B15" s="3">
        <f>IFERROR(__xludf.DUMMYFUNCTION("""COMPUTED_VALUE"""),210.04)</f>
        <v>210.04</v>
      </c>
      <c r="C15" s="3">
        <f>IFERROR(__xludf.DUMMYFUNCTION("""COMPUTED_VALUE"""),221.86)</f>
        <v>221.86</v>
      </c>
      <c r="D15" s="3">
        <f>IFERROR(__xludf.DUMMYFUNCTION("""COMPUTED_VALUE"""),209.45)</f>
        <v>209.45</v>
      </c>
      <c r="E15" s="3">
        <f>IFERROR(__xludf.DUMMYFUNCTION("""COMPUTED_VALUE"""),219.35)</f>
        <v>219.35</v>
      </c>
      <c r="F15" s="3">
        <f>IFERROR(__xludf.DUMMYFUNCTION("""COMPUTED_VALUE"""),7.942881E7)</f>
        <v>79428810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>
        <f>IFERROR(__xludf.DUMMYFUNCTION("""COMPUTED_VALUE"""),44852.66666666667)</f>
        <v>44852.66667</v>
      </c>
      <c r="B16" s="3">
        <f>IFERROR(__xludf.DUMMYFUNCTION("""COMPUTED_VALUE"""),229.5)</f>
        <v>229.5</v>
      </c>
      <c r="C16" s="3">
        <f>IFERROR(__xludf.DUMMYFUNCTION("""COMPUTED_VALUE"""),229.82)</f>
        <v>229.82</v>
      </c>
      <c r="D16" s="3">
        <f>IFERROR(__xludf.DUMMYFUNCTION("""COMPUTED_VALUE"""),217.25)</f>
        <v>217.25</v>
      </c>
      <c r="E16" s="3">
        <f>IFERROR(__xludf.DUMMYFUNCTION("""COMPUTED_VALUE"""),220.19)</f>
        <v>220.19</v>
      </c>
      <c r="F16" s="3">
        <f>IFERROR(__xludf.DUMMYFUNCTION("""COMPUTED_VALUE"""),7.5891905E7)</f>
        <v>75891905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>
        <f>IFERROR(__xludf.DUMMYFUNCTION("""COMPUTED_VALUE"""),44853.66666666667)</f>
        <v>44853.66667</v>
      </c>
      <c r="B17" s="3">
        <f>IFERROR(__xludf.DUMMYFUNCTION("""COMPUTED_VALUE"""),219.8)</f>
        <v>219.8</v>
      </c>
      <c r="C17" s="3">
        <f>IFERROR(__xludf.DUMMYFUNCTION("""COMPUTED_VALUE"""),222.93)</f>
        <v>222.93</v>
      </c>
      <c r="D17" s="3">
        <f>IFERROR(__xludf.DUMMYFUNCTION("""COMPUTED_VALUE"""),217.78)</f>
        <v>217.78</v>
      </c>
      <c r="E17" s="3">
        <f>IFERROR(__xludf.DUMMYFUNCTION("""COMPUTED_VALUE"""),222.04)</f>
        <v>222.04</v>
      </c>
      <c r="F17" s="3">
        <f>IFERROR(__xludf.DUMMYFUNCTION("""COMPUTED_VALUE"""),6.6571479E7)</f>
        <v>66571479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>
        <f>IFERROR(__xludf.DUMMYFUNCTION("""COMPUTED_VALUE"""),44854.66666666667)</f>
        <v>44854.66667</v>
      </c>
      <c r="B18" s="3">
        <f>IFERROR(__xludf.DUMMYFUNCTION("""COMPUTED_VALUE"""),208.28)</f>
        <v>208.28</v>
      </c>
      <c r="C18" s="3">
        <f>IFERROR(__xludf.DUMMYFUNCTION("""COMPUTED_VALUE"""),215.55)</f>
        <v>215.55</v>
      </c>
      <c r="D18" s="3">
        <f>IFERROR(__xludf.DUMMYFUNCTION("""COMPUTED_VALUE"""),202.0)</f>
        <v>202</v>
      </c>
      <c r="E18" s="3">
        <f>IFERROR(__xludf.DUMMYFUNCTION("""COMPUTED_VALUE"""),207.28)</f>
        <v>207.28</v>
      </c>
      <c r="F18" s="3">
        <f>IFERROR(__xludf.DUMMYFUNCTION("""COMPUTED_VALUE"""),1.17798062E8)</f>
        <v>117798062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>
        <f>IFERROR(__xludf.DUMMYFUNCTION("""COMPUTED_VALUE"""),44855.66666666667)</f>
        <v>44855.66667</v>
      </c>
      <c r="B19" s="3">
        <f>IFERROR(__xludf.DUMMYFUNCTION("""COMPUTED_VALUE"""),206.42)</f>
        <v>206.42</v>
      </c>
      <c r="C19" s="3">
        <f>IFERROR(__xludf.DUMMYFUNCTION("""COMPUTED_VALUE"""),214.66)</f>
        <v>214.66</v>
      </c>
      <c r="D19" s="3">
        <f>IFERROR(__xludf.DUMMYFUNCTION("""COMPUTED_VALUE"""),203.8)</f>
        <v>203.8</v>
      </c>
      <c r="E19" s="3">
        <f>IFERROR(__xludf.DUMMYFUNCTION("""COMPUTED_VALUE"""),214.44)</f>
        <v>214.44</v>
      </c>
      <c r="F19" s="3">
        <f>IFERROR(__xludf.DUMMYFUNCTION("""COMPUTED_VALUE"""),7.5713754E7)</f>
        <v>75713754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>
        <f>IFERROR(__xludf.DUMMYFUNCTION("""COMPUTED_VALUE"""),44858.66666666667)</f>
        <v>44858.66667</v>
      </c>
      <c r="B20" s="3">
        <f>IFERROR(__xludf.DUMMYFUNCTION("""COMPUTED_VALUE"""),205.82)</f>
        <v>205.82</v>
      </c>
      <c r="C20" s="3">
        <f>IFERROR(__xludf.DUMMYFUNCTION("""COMPUTED_VALUE"""),213.5)</f>
        <v>213.5</v>
      </c>
      <c r="D20" s="3">
        <f>IFERROR(__xludf.DUMMYFUNCTION("""COMPUTED_VALUE"""),198.59)</f>
        <v>198.59</v>
      </c>
      <c r="E20" s="3">
        <f>IFERROR(__xludf.DUMMYFUNCTION("""COMPUTED_VALUE"""),211.25)</f>
        <v>211.25</v>
      </c>
      <c r="F20" s="3">
        <f>IFERROR(__xludf.DUMMYFUNCTION("""COMPUTED_VALUE"""),1.00446765E8)</f>
        <v>100446765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>
        <f>IFERROR(__xludf.DUMMYFUNCTION("""COMPUTED_VALUE"""),44859.66666666667)</f>
        <v>44859.66667</v>
      </c>
      <c r="B21" s="3">
        <f>IFERROR(__xludf.DUMMYFUNCTION("""COMPUTED_VALUE"""),210.1)</f>
        <v>210.1</v>
      </c>
      <c r="C21" s="3">
        <f>IFERROR(__xludf.DUMMYFUNCTION("""COMPUTED_VALUE"""),224.35)</f>
        <v>224.35</v>
      </c>
      <c r="D21" s="3">
        <f>IFERROR(__xludf.DUMMYFUNCTION("""COMPUTED_VALUE"""),210.0)</f>
        <v>210</v>
      </c>
      <c r="E21" s="3">
        <f>IFERROR(__xludf.DUMMYFUNCTION("""COMPUTED_VALUE"""),222.42)</f>
        <v>222.42</v>
      </c>
      <c r="F21" s="3">
        <f>IFERROR(__xludf.DUMMYFUNCTION("""COMPUTED_VALUE"""),9.650787E7)</f>
        <v>96507870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>
        <f>IFERROR(__xludf.DUMMYFUNCTION("""COMPUTED_VALUE"""),44860.66666666667)</f>
        <v>44860.66667</v>
      </c>
      <c r="B22" s="3">
        <f>IFERROR(__xludf.DUMMYFUNCTION("""COMPUTED_VALUE"""),219.4)</f>
        <v>219.4</v>
      </c>
      <c r="C22" s="3">
        <f>IFERROR(__xludf.DUMMYFUNCTION("""COMPUTED_VALUE"""),230.6)</f>
        <v>230.6</v>
      </c>
      <c r="D22" s="3">
        <f>IFERROR(__xludf.DUMMYFUNCTION("""COMPUTED_VALUE"""),218.2)</f>
        <v>218.2</v>
      </c>
      <c r="E22" s="3">
        <f>IFERROR(__xludf.DUMMYFUNCTION("""COMPUTED_VALUE"""),224.64)</f>
        <v>224.64</v>
      </c>
      <c r="F22" s="3">
        <f>IFERROR(__xludf.DUMMYFUNCTION("""COMPUTED_VALUE"""),8.5327078E7)</f>
        <v>85327078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>
        <f>IFERROR(__xludf.DUMMYFUNCTION("""COMPUTED_VALUE"""),44861.66666666667)</f>
        <v>44861.66667</v>
      </c>
      <c r="B23" s="3">
        <f>IFERROR(__xludf.DUMMYFUNCTION("""COMPUTED_VALUE"""),229.77)</f>
        <v>229.77</v>
      </c>
      <c r="C23" s="3">
        <f>IFERROR(__xludf.DUMMYFUNCTION("""COMPUTED_VALUE"""),233.81)</f>
        <v>233.81</v>
      </c>
      <c r="D23" s="3">
        <f>IFERROR(__xludf.DUMMYFUNCTION("""COMPUTED_VALUE"""),222.85)</f>
        <v>222.85</v>
      </c>
      <c r="E23" s="3">
        <f>IFERROR(__xludf.DUMMYFUNCTION("""COMPUTED_VALUE"""),225.09)</f>
        <v>225.09</v>
      </c>
      <c r="F23" s="3">
        <f>IFERROR(__xludf.DUMMYFUNCTION("""COMPUTED_VALUE"""),6.1638824E7)</f>
        <v>61638824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>
        <f>IFERROR(__xludf.DUMMYFUNCTION("""COMPUTED_VALUE"""),44862.66666666667)</f>
        <v>44862.66667</v>
      </c>
      <c r="B24" s="3">
        <f>IFERROR(__xludf.DUMMYFUNCTION("""COMPUTED_VALUE"""),225.4)</f>
        <v>225.4</v>
      </c>
      <c r="C24" s="3">
        <f>IFERROR(__xludf.DUMMYFUNCTION("""COMPUTED_VALUE"""),228.86)</f>
        <v>228.86</v>
      </c>
      <c r="D24" s="3">
        <f>IFERROR(__xludf.DUMMYFUNCTION("""COMPUTED_VALUE"""),216.35)</f>
        <v>216.35</v>
      </c>
      <c r="E24" s="3">
        <f>IFERROR(__xludf.DUMMYFUNCTION("""COMPUTED_VALUE"""),228.52)</f>
        <v>228.52</v>
      </c>
      <c r="F24" s="3">
        <f>IFERROR(__xludf.DUMMYFUNCTION("""COMPUTED_VALUE"""),6.9152386E7)</f>
        <v>69152386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>
        <f>IFERROR(__xludf.DUMMYFUNCTION("""COMPUTED_VALUE"""),44865.66666666667)</f>
        <v>44865.66667</v>
      </c>
      <c r="B25" s="3">
        <f>IFERROR(__xludf.DUMMYFUNCTION("""COMPUTED_VALUE"""),226.19)</f>
        <v>226.19</v>
      </c>
      <c r="C25" s="3">
        <f>IFERROR(__xludf.DUMMYFUNCTION("""COMPUTED_VALUE"""),229.85)</f>
        <v>229.85</v>
      </c>
      <c r="D25" s="3">
        <f>IFERROR(__xludf.DUMMYFUNCTION("""COMPUTED_VALUE"""),221.94)</f>
        <v>221.94</v>
      </c>
      <c r="E25" s="3">
        <f>IFERROR(__xludf.DUMMYFUNCTION("""COMPUTED_VALUE"""),227.54)</f>
        <v>227.54</v>
      </c>
      <c r="F25" s="3">
        <f>IFERROR(__xludf.DUMMYFUNCTION("""COMPUTED_VALUE"""),6.1554341E7)</f>
        <v>61554341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>
        <f>IFERROR(__xludf.DUMMYFUNCTION("""COMPUTED_VALUE"""),44866.66666666667)</f>
        <v>44866.66667</v>
      </c>
      <c r="B26" s="3">
        <f>IFERROR(__xludf.DUMMYFUNCTION("""COMPUTED_VALUE"""),234.05)</f>
        <v>234.05</v>
      </c>
      <c r="C26" s="3">
        <f>IFERROR(__xludf.DUMMYFUNCTION("""COMPUTED_VALUE"""),237.4)</f>
        <v>237.4</v>
      </c>
      <c r="D26" s="3">
        <f>IFERROR(__xludf.DUMMYFUNCTION("""COMPUTED_VALUE"""),227.28)</f>
        <v>227.28</v>
      </c>
      <c r="E26" s="3">
        <f>IFERROR(__xludf.DUMMYFUNCTION("""COMPUTED_VALUE"""),227.82)</f>
        <v>227.82</v>
      </c>
      <c r="F26" s="3">
        <f>IFERROR(__xludf.DUMMYFUNCTION("""COMPUTED_VALUE"""),6.2688822E7)</f>
        <v>62688822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>
        <f>IFERROR(__xludf.DUMMYFUNCTION("""COMPUTED_VALUE"""),44867.66666666667)</f>
        <v>44867.66667</v>
      </c>
      <c r="B27" s="3">
        <f>IFERROR(__xludf.DUMMYFUNCTION("""COMPUTED_VALUE"""),226.04)</f>
        <v>226.04</v>
      </c>
      <c r="C27" s="3">
        <f>IFERROR(__xludf.DUMMYFUNCTION("""COMPUTED_VALUE"""),227.87)</f>
        <v>227.87</v>
      </c>
      <c r="D27" s="3">
        <f>IFERROR(__xludf.DUMMYFUNCTION("""COMPUTED_VALUE"""),214.82)</f>
        <v>214.82</v>
      </c>
      <c r="E27" s="3">
        <f>IFERROR(__xludf.DUMMYFUNCTION("""COMPUTED_VALUE"""),214.98)</f>
        <v>214.98</v>
      </c>
      <c r="F27" s="3">
        <f>IFERROR(__xludf.DUMMYFUNCTION("""COMPUTED_VALUE"""),6.3070293E7)</f>
        <v>63070293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>
        <f>IFERROR(__xludf.DUMMYFUNCTION("""COMPUTED_VALUE"""),44868.66666666667)</f>
        <v>44868.66667</v>
      </c>
      <c r="B28" s="3">
        <f>IFERROR(__xludf.DUMMYFUNCTION("""COMPUTED_VALUE"""),211.36)</f>
        <v>211.36</v>
      </c>
      <c r="C28" s="3">
        <f>IFERROR(__xludf.DUMMYFUNCTION("""COMPUTED_VALUE"""),221.2)</f>
        <v>221.2</v>
      </c>
      <c r="D28" s="3">
        <f>IFERROR(__xludf.DUMMYFUNCTION("""COMPUTED_VALUE"""),210.14)</f>
        <v>210.14</v>
      </c>
      <c r="E28" s="3">
        <f>IFERROR(__xludf.DUMMYFUNCTION("""COMPUTED_VALUE"""),215.31)</f>
        <v>215.31</v>
      </c>
      <c r="F28" s="3">
        <f>IFERROR(__xludf.DUMMYFUNCTION("""COMPUTED_VALUE"""),5.6538848E7)</f>
        <v>56538848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>
        <f>IFERROR(__xludf.DUMMYFUNCTION("""COMPUTED_VALUE"""),44869.66666666667)</f>
        <v>44869.66667</v>
      </c>
      <c r="B29" s="3">
        <f>IFERROR(__xludf.DUMMYFUNCTION("""COMPUTED_VALUE"""),222.6)</f>
        <v>222.6</v>
      </c>
      <c r="C29" s="3">
        <f>IFERROR(__xludf.DUMMYFUNCTION("""COMPUTED_VALUE"""),223.8)</f>
        <v>223.8</v>
      </c>
      <c r="D29" s="3">
        <f>IFERROR(__xludf.DUMMYFUNCTION("""COMPUTED_VALUE"""),203.08)</f>
        <v>203.08</v>
      </c>
      <c r="E29" s="3">
        <f>IFERROR(__xludf.DUMMYFUNCTION("""COMPUTED_VALUE"""),207.47)</f>
        <v>207.47</v>
      </c>
      <c r="F29" s="3">
        <f>IFERROR(__xludf.DUMMYFUNCTION("""COMPUTED_VALUE"""),9.8622212E7)</f>
        <v>98622212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>
        <f>IFERROR(__xludf.DUMMYFUNCTION("""COMPUTED_VALUE"""),44872.66666666667)</f>
        <v>44872.66667</v>
      </c>
      <c r="B30" s="3">
        <f>IFERROR(__xludf.DUMMYFUNCTION("""COMPUTED_VALUE"""),208.65)</f>
        <v>208.65</v>
      </c>
      <c r="C30" s="3">
        <f>IFERROR(__xludf.DUMMYFUNCTION("""COMPUTED_VALUE"""),208.9)</f>
        <v>208.9</v>
      </c>
      <c r="D30" s="3">
        <f>IFERROR(__xludf.DUMMYFUNCTION("""COMPUTED_VALUE"""),196.66)</f>
        <v>196.66</v>
      </c>
      <c r="E30" s="3">
        <f>IFERROR(__xludf.DUMMYFUNCTION("""COMPUTED_VALUE"""),197.08)</f>
        <v>197.08</v>
      </c>
      <c r="F30" s="3">
        <f>IFERROR(__xludf.DUMMYFUNCTION("""COMPUTED_VALUE"""),9.391652E7)</f>
        <v>93916520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>
        <f>IFERROR(__xludf.DUMMYFUNCTION("""COMPUTED_VALUE"""),44873.66666666667)</f>
        <v>44873.66667</v>
      </c>
      <c r="B31" s="3">
        <f>IFERROR(__xludf.DUMMYFUNCTION("""COMPUTED_VALUE"""),194.02)</f>
        <v>194.02</v>
      </c>
      <c r="C31" s="3">
        <f>IFERROR(__xludf.DUMMYFUNCTION("""COMPUTED_VALUE"""),195.2)</f>
        <v>195.2</v>
      </c>
      <c r="D31" s="3">
        <f>IFERROR(__xludf.DUMMYFUNCTION("""COMPUTED_VALUE"""),186.75)</f>
        <v>186.75</v>
      </c>
      <c r="E31" s="3">
        <f>IFERROR(__xludf.DUMMYFUNCTION("""COMPUTED_VALUE"""),191.3)</f>
        <v>191.3</v>
      </c>
      <c r="F31" s="3">
        <f>IFERROR(__xludf.DUMMYFUNCTION("""COMPUTED_VALUE"""),1.28803404E8)</f>
        <v>128803404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>
        <f>IFERROR(__xludf.DUMMYFUNCTION("""COMPUTED_VALUE"""),44874.66666666667)</f>
        <v>44874.66667</v>
      </c>
      <c r="B32" s="3">
        <f>IFERROR(__xludf.DUMMYFUNCTION("""COMPUTED_VALUE"""),190.78)</f>
        <v>190.78</v>
      </c>
      <c r="C32" s="3">
        <f>IFERROR(__xludf.DUMMYFUNCTION("""COMPUTED_VALUE"""),195.89)</f>
        <v>195.89</v>
      </c>
      <c r="D32" s="3">
        <f>IFERROR(__xludf.DUMMYFUNCTION("""COMPUTED_VALUE"""),177.12)</f>
        <v>177.12</v>
      </c>
      <c r="E32" s="3">
        <f>IFERROR(__xludf.DUMMYFUNCTION("""COMPUTED_VALUE"""),177.59)</f>
        <v>177.59</v>
      </c>
      <c r="F32" s="3">
        <f>IFERROR(__xludf.DUMMYFUNCTION("""COMPUTED_VALUE"""),1.27062659E8)</f>
        <v>127062659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>
        <f>IFERROR(__xludf.DUMMYFUNCTION("""COMPUTED_VALUE"""),44875.66666666667)</f>
        <v>44875.66667</v>
      </c>
      <c r="B33" s="3">
        <f>IFERROR(__xludf.DUMMYFUNCTION("""COMPUTED_VALUE"""),189.9)</f>
        <v>189.9</v>
      </c>
      <c r="C33" s="3">
        <f>IFERROR(__xludf.DUMMYFUNCTION("""COMPUTED_VALUE"""),191.0)</f>
        <v>191</v>
      </c>
      <c r="D33" s="3">
        <f>IFERROR(__xludf.DUMMYFUNCTION("""COMPUTED_VALUE"""),180.03)</f>
        <v>180.03</v>
      </c>
      <c r="E33" s="3">
        <f>IFERROR(__xludf.DUMMYFUNCTION("""COMPUTED_VALUE"""),190.72)</f>
        <v>190.72</v>
      </c>
      <c r="F33" s="3">
        <f>IFERROR(__xludf.DUMMYFUNCTION("""COMPUTED_VALUE"""),1.32703015E8)</f>
        <v>132703015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>
        <f>IFERROR(__xludf.DUMMYFUNCTION("""COMPUTED_VALUE"""),44876.66666666667)</f>
        <v>44876.66667</v>
      </c>
      <c r="B34" s="3">
        <f>IFERROR(__xludf.DUMMYFUNCTION("""COMPUTED_VALUE"""),186.0)</f>
        <v>186</v>
      </c>
      <c r="C34" s="3">
        <f>IFERROR(__xludf.DUMMYFUNCTION("""COMPUTED_VALUE"""),196.52)</f>
        <v>196.52</v>
      </c>
      <c r="D34" s="3">
        <f>IFERROR(__xludf.DUMMYFUNCTION("""COMPUTED_VALUE"""),182.59)</f>
        <v>182.59</v>
      </c>
      <c r="E34" s="3">
        <f>IFERROR(__xludf.DUMMYFUNCTION("""COMPUTED_VALUE"""),195.97)</f>
        <v>195.97</v>
      </c>
      <c r="F34" s="3">
        <f>IFERROR(__xludf.DUMMYFUNCTION("""COMPUTED_VALUE"""),1.14403575E8)</f>
        <v>114403575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>
        <f>IFERROR(__xludf.DUMMYFUNCTION("""COMPUTED_VALUE"""),44879.66666666667)</f>
        <v>44879.66667</v>
      </c>
      <c r="B35" s="3">
        <f>IFERROR(__xludf.DUMMYFUNCTION("""COMPUTED_VALUE"""),192.77)</f>
        <v>192.77</v>
      </c>
      <c r="C35" s="3">
        <f>IFERROR(__xludf.DUMMYFUNCTION("""COMPUTED_VALUE"""),195.73)</f>
        <v>195.73</v>
      </c>
      <c r="D35" s="3">
        <f>IFERROR(__xludf.DUMMYFUNCTION("""COMPUTED_VALUE"""),186.34)</f>
        <v>186.34</v>
      </c>
      <c r="E35" s="3">
        <f>IFERROR(__xludf.DUMMYFUNCTION("""COMPUTED_VALUE"""),190.95)</f>
        <v>190.95</v>
      </c>
      <c r="F35" s="3">
        <f>IFERROR(__xludf.DUMMYFUNCTION("""COMPUTED_VALUE"""),9.2226649E7)</f>
        <v>92226649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>
        <f>IFERROR(__xludf.DUMMYFUNCTION("""COMPUTED_VALUE"""),44880.66666666667)</f>
        <v>44880.66667</v>
      </c>
      <c r="B36" s="3">
        <f>IFERROR(__xludf.DUMMYFUNCTION("""COMPUTED_VALUE"""),195.88)</f>
        <v>195.88</v>
      </c>
      <c r="C36" s="3">
        <f>IFERROR(__xludf.DUMMYFUNCTION("""COMPUTED_VALUE"""),200.82)</f>
        <v>200.82</v>
      </c>
      <c r="D36" s="3">
        <f>IFERROR(__xludf.DUMMYFUNCTION("""COMPUTED_VALUE"""),192.06)</f>
        <v>192.06</v>
      </c>
      <c r="E36" s="3">
        <f>IFERROR(__xludf.DUMMYFUNCTION("""COMPUTED_VALUE"""),194.42)</f>
        <v>194.42</v>
      </c>
      <c r="F36" s="3">
        <f>IFERROR(__xludf.DUMMYFUNCTION("""COMPUTED_VALUE"""),9.1293785E7)</f>
        <v>91293785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>
        <f>IFERROR(__xludf.DUMMYFUNCTION("""COMPUTED_VALUE"""),44881.66666666667)</f>
        <v>44881.66667</v>
      </c>
      <c r="B37" s="3">
        <f>IFERROR(__xludf.DUMMYFUNCTION("""COMPUTED_VALUE"""),191.51)</f>
        <v>191.51</v>
      </c>
      <c r="C37" s="3">
        <f>IFERROR(__xludf.DUMMYFUNCTION("""COMPUTED_VALUE"""),192.57)</f>
        <v>192.57</v>
      </c>
      <c r="D37" s="3">
        <f>IFERROR(__xludf.DUMMYFUNCTION("""COMPUTED_VALUE"""),185.66)</f>
        <v>185.66</v>
      </c>
      <c r="E37" s="3">
        <f>IFERROR(__xludf.DUMMYFUNCTION("""COMPUTED_VALUE"""),186.92)</f>
        <v>186.92</v>
      </c>
      <c r="F37" s="3">
        <f>IFERROR(__xludf.DUMMYFUNCTION("""COMPUTED_VALUE"""),6.6567599E7)</f>
        <v>66567599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>
        <f>IFERROR(__xludf.DUMMYFUNCTION("""COMPUTED_VALUE"""),44882.66666666667)</f>
        <v>44882.66667</v>
      </c>
      <c r="B38" s="3">
        <f>IFERROR(__xludf.DUMMYFUNCTION("""COMPUTED_VALUE"""),183.96)</f>
        <v>183.96</v>
      </c>
      <c r="C38" s="3">
        <f>IFERROR(__xludf.DUMMYFUNCTION("""COMPUTED_VALUE"""),186.16)</f>
        <v>186.16</v>
      </c>
      <c r="D38" s="3">
        <f>IFERROR(__xludf.DUMMYFUNCTION("""COMPUTED_VALUE"""),180.9)</f>
        <v>180.9</v>
      </c>
      <c r="E38" s="3">
        <f>IFERROR(__xludf.DUMMYFUNCTION("""COMPUTED_VALUE"""),183.17)</f>
        <v>183.17</v>
      </c>
      <c r="F38" s="3">
        <f>IFERROR(__xludf.DUMMYFUNCTION("""COMPUTED_VALUE"""),6.433597E7)</f>
        <v>64335970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>
        <f>IFERROR(__xludf.DUMMYFUNCTION("""COMPUTED_VALUE"""),44883.66666666667)</f>
        <v>44883.66667</v>
      </c>
      <c r="B39" s="3">
        <f>IFERROR(__xludf.DUMMYFUNCTION("""COMPUTED_VALUE"""),185.05)</f>
        <v>185.05</v>
      </c>
      <c r="C39" s="3">
        <f>IFERROR(__xludf.DUMMYFUNCTION("""COMPUTED_VALUE"""),185.19)</f>
        <v>185.19</v>
      </c>
      <c r="D39" s="3">
        <f>IFERROR(__xludf.DUMMYFUNCTION("""COMPUTED_VALUE"""),176.55)</f>
        <v>176.55</v>
      </c>
      <c r="E39" s="3">
        <f>IFERROR(__xludf.DUMMYFUNCTION("""COMPUTED_VALUE"""),180.19)</f>
        <v>180.19</v>
      </c>
      <c r="F39" s="3">
        <f>IFERROR(__xludf.DUMMYFUNCTION("""COMPUTED_VALUE"""),7.6048866E7)</f>
        <v>76048866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>
        <f>IFERROR(__xludf.DUMMYFUNCTION("""COMPUTED_VALUE"""),44886.66666666667)</f>
        <v>44886.66667</v>
      </c>
      <c r="B40" s="3">
        <f>IFERROR(__xludf.DUMMYFUNCTION("""COMPUTED_VALUE"""),175.85)</f>
        <v>175.85</v>
      </c>
      <c r="C40" s="3">
        <f>IFERROR(__xludf.DUMMYFUNCTION("""COMPUTED_VALUE"""),176.77)</f>
        <v>176.77</v>
      </c>
      <c r="D40" s="3">
        <f>IFERROR(__xludf.DUMMYFUNCTION("""COMPUTED_VALUE"""),167.54)</f>
        <v>167.54</v>
      </c>
      <c r="E40" s="3">
        <f>IFERROR(__xludf.DUMMYFUNCTION("""COMPUTED_VALUE"""),167.87)</f>
        <v>167.87</v>
      </c>
      <c r="F40" s="3">
        <f>IFERROR(__xludf.DUMMYFUNCTION("""COMPUTED_VALUE"""),9.2882712E7)</f>
        <v>92882712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>
        <f>IFERROR(__xludf.DUMMYFUNCTION("""COMPUTED_VALUE"""),44887.66666666667)</f>
        <v>44887.66667</v>
      </c>
      <c r="B41" s="3">
        <f>IFERROR(__xludf.DUMMYFUNCTION("""COMPUTED_VALUE"""),168.63)</f>
        <v>168.63</v>
      </c>
      <c r="C41" s="3">
        <f>IFERROR(__xludf.DUMMYFUNCTION("""COMPUTED_VALUE"""),170.92)</f>
        <v>170.92</v>
      </c>
      <c r="D41" s="3">
        <f>IFERROR(__xludf.DUMMYFUNCTION("""COMPUTED_VALUE"""),166.19)</f>
        <v>166.19</v>
      </c>
      <c r="E41" s="3">
        <f>IFERROR(__xludf.DUMMYFUNCTION("""COMPUTED_VALUE"""),169.91)</f>
        <v>169.91</v>
      </c>
      <c r="F41" s="3">
        <f>IFERROR(__xludf.DUMMYFUNCTION("""COMPUTED_VALUE"""),7.8452327E7)</f>
        <v>78452327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>
        <f>IFERROR(__xludf.DUMMYFUNCTION("""COMPUTED_VALUE"""),44888.66666666667)</f>
        <v>44888.66667</v>
      </c>
      <c r="B42" s="3">
        <f>IFERROR(__xludf.DUMMYFUNCTION("""COMPUTED_VALUE"""),173.57)</f>
        <v>173.57</v>
      </c>
      <c r="C42" s="3">
        <f>IFERROR(__xludf.DUMMYFUNCTION("""COMPUTED_VALUE"""),183.62)</f>
        <v>183.62</v>
      </c>
      <c r="D42" s="3">
        <f>IFERROR(__xludf.DUMMYFUNCTION("""COMPUTED_VALUE"""),172.5)</f>
        <v>172.5</v>
      </c>
      <c r="E42" s="3">
        <f>IFERROR(__xludf.DUMMYFUNCTION("""COMPUTED_VALUE"""),183.2)</f>
        <v>183.2</v>
      </c>
      <c r="F42" s="3">
        <f>IFERROR(__xludf.DUMMYFUNCTION("""COMPUTED_VALUE"""),1.09536709E8)</f>
        <v>109536709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>
        <f>IFERROR(__xludf.DUMMYFUNCTION("""COMPUTED_VALUE"""),44890.54513888889)</f>
        <v>44890.54514</v>
      </c>
      <c r="B43" s="3">
        <f>IFERROR(__xludf.DUMMYFUNCTION("""COMPUTED_VALUE"""),185.06)</f>
        <v>185.06</v>
      </c>
      <c r="C43" s="3">
        <f>IFERROR(__xludf.DUMMYFUNCTION("""COMPUTED_VALUE"""),185.2)</f>
        <v>185.2</v>
      </c>
      <c r="D43" s="3">
        <f>IFERROR(__xludf.DUMMYFUNCTION("""COMPUTED_VALUE"""),180.63)</f>
        <v>180.63</v>
      </c>
      <c r="E43" s="3">
        <f>IFERROR(__xludf.DUMMYFUNCTION("""COMPUTED_VALUE"""),182.86)</f>
        <v>182.86</v>
      </c>
      <c r="F43" s="3">
        <f>IFERROR(__xludf.DUMMYFUNCTION("""COMPUTED_VALUE"""),5.0672739E7)</f>
        <v>50672739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>
        <f>IFERROR(__xludf.DUMMYFUNCTION("""COMPUTED_VALUE"""),44893.66666666667)</f>
        <v>44893.66667</v>
      </c>
      <c r="B44" s="3">
        <f>IFERROR(__xludf.DUMMYFUNCTION("""COMPUTED_VALUE"""),179.96)</f>
        <v>179.96</v>
      </c>
      <c r="C44" s="3">
        <f>IFERROR(__xludf.DUMMYFUNCTION("""COMPUTED_VALUE"""),188.5)</f>
        <v>188.5</v>
      </c>
      <c r="D44" s="3">
        <f>IFERROR(__xludf.DUMMYFUNCTION("""COMPUTED_VALUE"""),179.0)</f>
        <v>179</v>
      </c>
      <c r="E44" s="3">
        <f>IFERROR(__xludf.DUMMYFUNCTION("""COMPUTED_VALUE"""),182.92)</f>
        <v>182.92</v>
      </c>
      <c r="F44" s="3">
        <f>IFERROR(__xludf.DUMMYFUNCTION("""COMPUTED_VALUE"""),9.3038148E7)</f>
        <v>93038148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>
        <f>IFERROR(__xludf.DUMMYFUNCTION("""COMPUTED_VALUE"""),44894.66666666667)</f>
        <v>44894.66667</v>
      </c>
      <c r="B45" s="3">
        <f>IFERROR(__xludf.DUMMYFUNCTION("""COMPUTED_VALUE"""),184.99)</f>
        <v>184.99</v>
      </c>
      <c r="C45" s="3">
        <f>IFERROR(__xludf.DUMMYFUNCTION("""COMPUTED_VALUE"""),186.38)</f>
        <v>186.38</v>
      </c>
      <c r="D45" s="3">
        <f>IFERROR(__xludf.DUMMYFUNCTION("""COMPUTED_VALUE"""),178.75)</f>
        <v>178.75</v>
      </c>
      <c r="E45" s="3">
        <f>IFERROR(__xludf.DUMMYFUNCTION("""COMPUTED_VALUE"""),180.83)</f>
        <v>180.83</v>
      </c>
      <c r="F45" s="3">
        <f>IFERROR(__xludf.DUMMYFUNCTION("""COMPUTED_VALUE"""),8.3357111E7)</f>
        <v>83357111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>
        <f>IFERROR(__xludf.DUMMYFUNCTION("""COMPUTED_VALUE"""),44895.66666666667)</f>
        <v>44895.66667</v>
      </c>
      <c r="B46" s="3">
        <f>IFERROR(__xludf.DUMMYFUNCTION("""COMPUTED_VALUE"""),182.43)</f>
        <v>182.43</v>
      </c>
      <c r="C46" s="3">
        <f>IFERROR(__xludf.DUMMYFUNCTION("""COMPUTED_VALUE"""),194.76)</f>
        <v>194.76</v>
      </c>
      <c r="D46" s="3">
        <f>IFERROR(__xludf.DUMMYFUNCTION("""COMPUTED_VALUE"""),180.63)</f>
        <v>180.63</v>
      </c>
      <c r="E46" s="3">
        <f>IFERROR(__xludf.DUMMYFUNCTION("""COMPUTED_VALUE"""),194.7)</f>
        <v>194.7</v>
      </c>
      <c r="F46" s="3">
        <f>IFERROR(__xludf.DUMMYFUNCTION("""COMPUTED_VALUE"""),1.09186404E8)</f>
        <v>109186404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>
        <f>IFERROR(__xludf.DUMMYFUNCTION("""COMPUTED_VALUE"""),44896.66666666667)</f>
        <v>44896.66667</v>
      </c>
      <c r="B47" s="3">
        <f>IFERROR(__xludf.DUMMYFUNCTION("""COMPUTED_VALUE"""),197.08)</f>
        <v>197.08</v>
      </c>
      <c r="C47" s="3">
        <f>IFERROR(__xludf.DUMMYFUNCTION("""COMPUTED_VALUE"""),198.92)</f>
        <v>198.92</v>
      </c>
      <c r="D47" s="3">
        <f>IFERROR(__xludf.DUMMYFUNCTION("""COMPUTED_VALUE"""),191.8)</f>
        <v>191.8</v>
      </c>
      <c r="E47" s="3">
        <f>IFERROR(__xludf.DUMMYFUNCTION("""COMPUTED_VALUE"""),194.7)</f>
        <v>194.7</v>
      </c>
      <c r="F47" s="3">
        <f>IFERROR(__xludf.DUMMYFUNCTION("""COMPUTED_VALUE"""),8.0046213E7)</f>
        <v>80046213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>
        <f>IFERROR(__xludf.DUMMYFUNCTION("""COMPUTED_VALUE"""),44897.66666666667)</f>
        <v>44897.66667</v>
      </c>
      <c r="B48" s="3">
        <f>IFERROR(__xludf.DUMMYFUNCTION("""COMPUTED_VALUE"""),191.78)</f>
        <v>191.78</v>
      </c>
      <c r="C48" s="3">
        <f>IFERROR(__xludf.DUMMYFUNCTION("""COMPUTED_VALUE"""),196.25)</f>
        <v>196.25</v>
      </c>
      <c r="D48" s="3">
        <f>IFERROR(__xludf.DUMMYFUNCTION("""COMPUTED_VALUE"""),191.11)</f>
        <v>191.11</v>
      </c>
      <c r="E48" s="3">
        <f>IFERROR(__xludf.DUMMYFUNCTION("""COMPUTED_VALUE"""),194.86)</f>
        <v>194.86</v>
      </c>
      <c r="F48" s="3">
        <f>IFERROR(__xludf.DUMMYFUNCTION("""COMPUTED_VALUE"""),7.3645922E7)</f>
        <v>73645922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>
        <f>IFERROR(__xludf.DUMMYFUNCTION("""COMPUTED_VALUE"""),44900.66666666667)</f>
        <v>44900.66667</v>
      </c>
      <c r="B49" s="3">
        <f>IFERROR(__xludf.DUMMYFUNCTION("""COMPUTED_VALUE"""),189.44)</f>
        <v>189.44</v>
      </c>
      <c r="C49" s="3">
        <f>IFERROR(__xludf.DUMMYFUNCTION("""COMPUTED_VALUE"""),191.27)</f>
        <v>191.27</v>
      </c>
      <c r="D49" s="3">
        <f>IFERROR(__xludf.DUMMYFUNCTION("""COMPUTED_VALUE"""),180.55)</f>
        <v>180.55</v>
      </c>
      <c r="E49" s="3">
        <f>IFERROR(__xludf.DUMMYFUNCTION("""COMPUTED_VALUE"""),182.45)</f>
        <v>182.45</v>
      </c>
      <c r="F49" s="3">
        <f>IFERROR(__xludf.DUMMYFUNCTION("""COMPUTED_VALUE"""),9.3122667E7)</f>
        <v>93122667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>
        <f>IFERROR(__xludf.DUMMYFUNCTION("""COMPUTED_VALUE"""),44901.66666666667)</f>
        <v>44901.66667</v>
      </c>
      <c r="B50" s="3">
        <f>IFERROR(__xludf.DUMMYFUNCTION("""COMPUTED_VALUE"""),181.22)</f>
        <v>181.22</v>
      </c>
      <c r="C50" s="3">
        <f>IFERROR(__xludf.DUMMYFUNCTION("""COMPUTED_VALUE"""),183.65)</f>
        <v>183.65</v>
      </c>
      <c r="D50" s="3">
        <f>IFERROR(__xludf.DUMMYFUNCTION("""COMPUTED_VALUE"""),175.33)</f>
        <v>175.33</v>
      </c>
      <c r="E50" s="3">
        <f>IFERROR(__xludf.DUMMYFUNCTION("""COMPUTED_VALUE"""),179.82)</f>
        <v>179.82</v>
      </c>
      <c r="F50" s="3">
        <f>IFERROR(__xludf.DUMMYFUNCTION("""COMPUTED_VALUE"""),9.2150823E7)</f>
        <v>92150823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>
        <f>IFERROR(__xludf.DUMMYFUNCTION("""COMPUTED_VALUE"""),44902.66666666667)</f>
        <v>44902.66667</v>
      </c>
      <c r="B51" s="3">
        <f>IFERROR(__xludf.DUMMYFUNCTION("""COMPUTED_VALUE"""),175.03)</f>
        <v>175.03</v>
      </c>
      <c r="C51" s="3">
        <f>IFERROR(__xludf.DUMMYFUNCTION("""COMPUTED_VALUE"""),179.38)</f>
        <v>179.38</v>
      </c>
      <c r="D51" s="3">
        <f>IFERROR(__xludf.DUMMYFUNCTION("""COMPUTED_VALUE"""),172.22)</f>
        <v>172.22</v>
      </c>
      <c r="E51" s="3">
        <f>IFERROR(__xludf.DUMMYFUNCTION("""COMPUTED_VALUE"""),174.04)</f>
        <v>174.04</v>
      </c>
      <c r="F51" s="3">
        <f>IFERROR(__xludf.DUMMYFUNCTION("""COMPUTED_VALUE"""),8.4213284E7)</f>
        <v>84213284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>
        <f>IFERROR(__xludf.DUMMYFUNCTION("""COMPUTED_VALUE"""),44903.66666666667)</f>
        <v>44903.66667</v>
      </c>
      <c r="B52" s="3">
        <f>IFERROR(__xludf.DUMMYFUNCTION("""COMPUTED_VALUE"""),172.2)</f>
        <v>172.2</v>
      </c>
      <c r="C52" s="3">
        <f>IFERROR(__xludf.DUMMYFUNCTION("""COMPUTED_VALUE"""),175.2)</f>
        <v>175.2</v>
      </c>
      <c r="D52" s="3">
        <f>IFERROR(__xludf.DUMMYFUNCTION("""COMPUTED_VALUE"""),169.06)</f>
        <v>169.06</v>
      </c>
      <c r="E52" s="3">
        <f>IFERROR(__xludf.DUMMYFUNCTION("""COMPUTED_VALUE"""),173.44)</f>
        <v>173.44</v>
      </c>
      <c r="F52" s="3">
        <f>IFERROR(__xludf.DUMMYFUNCTION("""COMPUTED_VALUE"""),9.7624491E7)</f>
        <v>97624491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>
        <f>IFERROR(__xludf.DUMMYFUNCTION("""COMPUTED_VALUE"""),44904.66666666667)</f>
        <v>44904.66667</v>
      </c>
      <c r="B53" s="3">
        <f>IFERROR(__xludf.DUMMYFUNCTION("""COMPUTED_VALUE"""),173.84)</f>
        <v>173.84</v>
      </c>
      <c r="C53" s="3">
        <f>IFERROR(__xludf.DUMMYFUNCTION("""COMPUTED_VALUE"""),182.5)</f>
        <v>182.5</v>
      </c>
      <c r="D53" s="3">
        <f>IFERROR(__xludf.DUMMYFUNCTION("""COMPUTED_VALUE"""),173.36)</f>
        <v>173.36</v>
      </c>
      <c r="E53" s="3">
        <f>IFERROR(__xludf.DUMMYFUNCTION("""COMPUTED_VALUE"""),179.05)</f>
        <v>179.05</v>
      </c>
      <c r="F53" s="3">
        <f>IFERROR(__xludf.DUMMYFUNCTION("""COMPUTED_VALUE"""),1.04872336E8)</f>
        <v>104872336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>
        <f>IFERROR(__xludf.DUMMYFUNCTION("""COMPUTED_VALUE"""),44907.66666666667)</f>
        <v>44907.66667</v>
      </c>
      <c r="B54" s="3">
        <f>IFERROR(__xludf.DUMMYFUNCTION("""COMPUTED_VALUE"""),176.1)</f>
        <v>176.1</v>
      </c>
      <c r="C54" s="3">
        <f>IFERROR(__xludf.DUMMYFUNCTION("""COMPUTED_VALUE"""),177.37)</f>
        <v>177.37</v>
      </c>
      <c r="D54" s="3">
        <f>IFERROR(__xludf.DUMMYFUNCTION("""COMPUTED_VALUE"""),167.52)</f>
        <v>167.52</v>
      </c>
      <c r="E54" s="3">
        <f>IFERROR(__xludf.DUMMYFUNCTION("""COMPUTED_VALUE"""),167.82)</f>
        <v>167.82</v>
      </c>
      <c r="F54" s="3">
        <f>IFERROR(__xludf.DUMMYFUNCTION("""COMPUTED_VALUE"""),1.09794471E8)</f>
        <v>109794471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>
        <f>IFERROR(__xludf.DUMMYFUNCTION("""COMPUTED_VALUE"""),44908.66666666667)</f>
        <v>44908.66667</v>
      </c>
      <c r="B55" s="3">
        <f>IFERROR(__xludf.DUMMYFUNCTION("""COMPUTED_VALUE"""),174.87)</f>
        <v>174.87</v>
      </c>
      <c r="C55" s="3">
        <f>IFERROR(__xludf.DUMMYFUNCTION("""COMPUTED_VALUE"""),175.05)</f>
        <v>175.05</v>
      </c>
      <c r="D55" s="3">
        <f>IFERROR(__xludf.DUMMYFUNCTION("""COMPUTED_VALUE"""),156.91)</f>
        <v>156.91</v>
      </c>
      <c r="E55" s="3">
        <f>IFERROR(__xludf.DUMMYFUNCTION("""COMPUTED_VALUE"""),160.95)</f>
        <v>160.95</v>
      </c>
      <c r="F55" s="3">
        <f>IFERROR(__xludf.DUMMYFUNCTION("""COMPUTED_VALUE"""),1.75862722E8)</f>
        <v>175862722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>
        <f>IFERROR(__xludf.DUMMYFUNCTION("""COMPUTED_VALUE"""),44909.66666666667)</f>
        <v>44909.66667</v>
      </c>
      <c r="B56" s="3">
        <f>IFERROR(__xludf.DUMMYFUNCTION("""COMPUTED_VALUE"""),159.25)</f>
        <v>159.25</v>
      </c>
      <c r="C56" s="3">
        <f>IFERROR(__xludf.DUMMYFUNCTION("""COMPUTED_VALUE"""),161.62)</f>
        <v>161.62</v>
      </c>
      <c r="D56" s="3">
        <f>IFERROR(__xludf.DUMMYFUNCTION("""COMPUTED_VALUE"""),155.31)</f>
        <v>155.31</v>
      </c>
      <c r="E56" s="3">
        <f>IFERROR(__xludf.DUMMYFUNCTION("""COMPUTED_VALUE"""),156.8)</f>
        <v>156.8</v>
      </c>
      <c r="F56" s="3">
        <f>IFERROR(__xludf.DUMMYFUNCTION("""COMPUTED_VALUE"""),1.40682338E8)</f>
        <v>140682338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>
        <f>IFERROR(__xludf.DUMMYFUNCTION("""COMPUTED_VALUE"""),44910.66666666667)</f>
        <v>44910.66667</v>
      </c>
      <c r="B57" s="3">
        <f>IFERROR(__xludf.DUMMYFUNCTION("""COMPUTED_VALUE"""),153.44)</f>
        <v>153.44</v>
      </c>
      <c r="C57" s="3">
        <f>IFERROR(__xludf.DUMMYFUNCTION("""COMPUTED_VALUE"""),160.93)</f>
        <v>160.93</v>
      </c>
      <c r="D57" s="3">
        <f>IFERROR(__xludf.DUMMYFUNCTION("""COMPUTED_VALUE"""),153.28)</f>
        <v>153.28</v>
      </c>
      <c r="E57" s="3">
        <f>IFERROR(__xludf.DUMMYFUNCTION("""COMPUTED_VALUE"""),157.67)</f>
        <v>157.67</v>
      </c>
      <c r="F57" s="3">
        <f>IFERROR(__xludf.DUMMYFUNCTION("""COMPUTED_VALUE"""),1.22334459E8)</f>
        <v>122334459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>
        <f>IFERROR(__xludf.DUMMYFUNCTION("""COMPUTED_VALUE"""),44911.66666666667)</f>
        <v>44911.66667</v>
      </c>
      <c r="B58" s="3">
        <f>IFERROR(__xludf.DUMMYFUNCTION("""COMPUTED_VALUE"""),159.64)</f>
        <v>159.64</v>
      </c>
      <c r="C58" s="3">
        <f>IFERROR(__xludf.DUMMYFUNCTION("""COMPUTED_VALUE"""),160.99)</f>
        <v>160.99</v>
      </c>
      <c r="D58" s="3">
        <f>IFERROR(__xludf.DUMMYFUNCTION("""COMPUTED_VALUE"""),150.04)</f>
        <v>150.04</v>
      </c>
      <c r="E58" s="3">
        <f>IFERROR(__xludf.DUMMYFUNCTION("""COMPUTED_VALUE"""),150.23)</f>
        <v>150.23</v>
      </c>
      <c r="F58" s="3">
        <f>IFERROR(__xludf.DUMMYFUNCTION("""COMPUTED_VALUE"""),1.39032175E8)</f>
        <v>139032175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>
        <f>IFERROR(__xludf.DUMMYFUNCTION("""COMPUTED_VALUE"""),44914.66666666667)</f>
        <v>44914.66667</v>
      </c>
      <c r="B59" s="3">
        <f>IFERROR(__xludf.DUMMYFUNCTION("""COMPUTED_VALUE"""),154.0)</f>
        <v>154</v>
      </c>
      <c r="C59" s="3">
        <f>IFERROR(__xludf.DUMMYFUNCTION("""COMPUTED_VALUE"""),155.25)</f>
        <v>155.25</v>
      </c>
      <c r="D59" s="3">
        <f>IFERROR(__xludf.DUMMYFUNCTION("""COMPUTED_VALUE"""),145.82)</f>
        <v>145.82</v>
      </c>
      <c r="E59" s="3">
        <f>IFERROR(__xludf.DUMMYFUNCTION("""COMPUTED_VALUE"""),149.87)</f>
        <v>149.87</v>
      </c>
      <c r="F59" s="3">
        <f>IFERROR(__xludf.DUMMYFUNCTION("""COMPUTED_VALUE"""),1.39390634E8)</f>
        <v>139390634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>
        <f>IFERROR(__xludf.DUMMYFUNCTION("""COMPUTED_VALUE"""),44915.66666666667)</f>
        <v>44915.66667</v>
      </c>
      <c r="B60" s="3">
        <f>IFERROR(__xludf.DUMMYFUNCTION("""COMPUTED_VALUE"""),146.05)</f>
        <v>146.05</v>
      </c>
      <c r="C60" s="3">
        <f>IFERROR(__xludf.DUMMYFUNCTION("""COMPUTED_VALUE"""),148.47)</f>
        <v>148.47</v>
      </c>
      <c r="D60" s="3">
        <f>IFERROR(__xludf.DUMMYFUNCTION("""COMPUTED_VALUE"""),137.66)</f>
        <v>137.66</v>
      </c>
      <c r="E60" s="3">
        <f>IFERROR(__xludf.DUMMYFUNCTION("""COMPUTED_VALUE"""),137.8)</f>
        <v>137.8</v>
      </c>
      <c r="F60" s="3">
        <f>IFERROR(__xludf.DUMMYFUNCTION("""COMPUTED_VALUE"""),1.59563267E8)</f>
        <v>159563267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>
        <f>IFERROR(__xludf.DUMMYFUNCTION("""COMPUTED_VALUE"""),44916.66666666667)</f>
        <v>44916.66667</v>
      </c>
      <c r="B61" s="3">
        <f>IFERROR(__xludf.DUMMYFUNCTION("""COMPUTED_VALUE"""),139.34)</f>
        <v>139.34</v>
      </c>
      <c r="C61" s="3">
        <f>IFERROR(__xludf.DUMMYFUNCTION("""COMPUTED_VALUE"""),141.26)</f>
        <v>141.26</v>
      </c>
      <c r="D61" s="3">
        <f>IFERROR(__xludf.DUMMYFUNCTION("""COMPUTED_VALUE"""),135.89)</f>
        <v>135.89</v>
      </c>
      <c r="E61" s="3">
        <f>IFERROR(__xludf.DUMMYFUNCTION("""COMPUTED_VALUE"""),137.57)</f>
        <v>137.57</v>
      </c>
      <c r="F61" s="3">
        <f>IFERROR(__xludf.DUMMYFUNCTION("""COMPUTED_VALUE"""),1.45417412E8)</f>
        <v>145417412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>
        <f>IFERROR(__xludf.DUMMYFUNCTION("""COMPUTED_VALUE"""),44917.66666666667)</f>
        <v>44917.66667</v>
      </c>
      <c r="B62" s="3">
        <f>IFERROR(__xludf.DUMMYFUNCTION("""COMPUTED_VALUE"""),136.0)</f>
        <v>136</v>
      </c>
      <c r="C62" s="3">
        <f>IFERROR(__xludf.DUMMYFUNCTION("""COMPUTED_VALUE"""),136.63)</f>
        <v>136.63</v>
      </c>
      <c r="D62" s="3">
        <f>IFERROR(__xludf.DUMMYFUNCTION("""COMPUTED_VALUE"""),122.26)</f>
        <v>122.26</v>
      </c>
      <c r="E62" s="3">
        <f>IFERROR(__xludf.DUMMYFUNCTION("""COMPUTED_VALUE"""),125.35)</f>
        <v>125.35</v>
      </c>
      <c r="F62" s="3">
        <f>IFERROR(__xludf.DUMMYFUNCTION("""COMPUTED_VALUE"""),2.1009025E8)</f>
        <v>210090250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>
        <f>IFERROR(__xludf.DUMMYFUNCTION("""COMPUTED_VALUE"""),44918.66666666667)</f>
        <v>44918.66667</v>
      </c>
      <c r="B63" s="3">
        <f>IFERROR(__xludf.DUMMYFUNCTION("""COMPUTED_VALUE"""),126.37)</f>
        <v>126.37</v>
      </c>
      <c r="C63" s="3">
        <f>IFERROR(__xludf.DUMMYFUNCTION("""COMPUTED_VALUE"""),128.62)</f>
        <v>128.62</v>
      </c>
      <c r="D63" s="3">
        <f>IFERROR(__xludf.DUMMYFUNCTION("""COMPUTED_VALUE"""),121.02)</f>
        <v>121.02</v>
      </c>
      <c r="E63" s="3">
        <f>IFERROR(__xludf.DUMMYFUNCTION("""COMPUTED_VALUE"""),123.15)</f>
        <v>123.15</v>
      </c>
      <c r="F63" s="3">
        <f>IFERROR(__xludf.DUMMYFUNCTION("""COMPUTED_VALUE"""),1.66989688E8)</f>
        <v>166989688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>
        <f>IFERROR(__xludf.DUMMYFUNCTION("""COMPUTED_VALUE"""),44922.66666666667)</f>
        <v>44922.66667</v>
      </c>
      <c r="B64" s="3">
        <f>IFERROR(__xludf.DUMMYFUNCTION("""COMPUTED_VALUE"""),117.5)</f>
        <v>117.5</v>
      </c>
      <c r="C64" s="3">
        <f>IFERROR(__xludf.DUMMYFUNCTION("""COMPUTED_VALUE"""),119.67)</f>
        <v>119.67</v>
      </c>
      <c r="D64" s="3">
        <f>IFERROR(__xludf.DUMMYFUNCTION("""COMPUTED_VALUE"""),108.76)</f>
        <v>108.76</v>
      </c>
      <c r="E64" s="3">
        <f>IFERROR(__xludf.DUMMYFUNCTION("""COMPUTED_VALUE"""),109.1)</f>
        <v>109.1</v>
      </c>
      <c r="F64" s="3">
        <f>IFERROR(__xludf.DUMMYFUNCTION("""COMPUTED_VALUE"""),2.08643444E8)</f>
        <v>208643444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>
        <f>IFERROR(__xludf.DUMMYFUNCTION("""COMPUTED_VALUE"""),44923.66666666667)</f>
        <v>44923.66667</v>
      </c>
      <c r="B65" s="3">
        <f>IFERROR(__xludf.DUMMYFUNCTION("""COMPUTED_VALUE"""),110.35)</f>
        <v>110.35</v>
      </c>
      <c r="C65" s="3">
        <f>IFERROR(__xludf.DUMMYFUNCTION("""COMPUTED_VALUE"""),116.27)</f>
        <v>116.27</v>
      </c>
      <c r="D65" s="3">
        <f>IFERROR(__xludf.DUMMYFUNCTION("""COMPUTED_VALUE"""),108.24)</f>
        <v>108.24</v>
      </c>
      <c r="E65" s="3">
        <f>IFERROR(__xludf.DUMMYFUNCTION("""COMPUTED_VALUE"""),112.71)</f>
        <v>112.71</v>
      </c>
      <c r="F65" s="3">
        <f>IFERROR(__xludf.DUMMYFUNCTION("""COMPUTED_VALUE"""),2.21070537E8)</f>
        <v>221070537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>
        <f>IFERROR(__xludf.DUMMYFUNCTION("""COMPUTED_VALUE"""),44924.66666666667)</f>
        <v>44924.66667</v>
      </c>
      <c r="B66" s="3">
        <f>IFERROR(__xludf.DUMMYFUNCTION("""COMPUTED_VALUE"""),120.39)</f>
        <v>120.39</v>
      </c>
      <c r="C66" s="3">
        <f>IFERROR(__xludf.DUMMYFUNCTION("""COMPUTED_VALUE"""),123.57)</f>
        <v>123.57</v>
      </c>
      <c r="D66" s="3">
        <f>IFERROR(__xludf.DUMMYFUNCTION("""COMPUTED_VALUE"""),117.5)</f>
        <v>117.5</v>
      </c>
      <c r="E66" s="3">
        <f>IFERROR(__xludf.DUMMYFUNCTION("""COMPUTED_VALUE"""),121.82)</f>
        <v>121.82</v>
      </c>
      <c r="F66" s="3">
        <f>IFERROR(__xludf.DUMMYFUNCTION("""COMPUTED_VALUE"""),2.21923313E8)</f>
        <v>221923313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>
        <f>IFERROR(__xludf.DUMMYFUNCTION("""COMPUTED_VALUE"""),44925.66666666667)</f>
        <v>44925.66667</v>
      </c>
      <c r="B67" s="3">
        <f>IFERROR(__xludf.DUMMYFUNCTION("""COMPUTED_VALUE"""),119.95)</f>
        <v>119.95</v>
      </c>
      <c r="C67" s="3">
        <f>IFERROR(__xludf.DUMMYFUNCTION("""COMPUTED_VALUE"""),124.48)</f>
        <v>124.48</v>
      </c>
      <c r="D67" s="3">
        <f>IFERROR(__xludf.DUMMYFUNCTION("""COMPUTED_VALUE"""),119.75)</f>
        <v>119.75</v>
      </c>
      <c r="E67" s="3">
        <f>IFERROR(__xludf.DUMMYFUNCTION("""COMPUTED_VALUE"""),123.18)</f>
        <v>123.18</v>
      </c>
      <c r="F67" s="3">
        <f>IFERROR(__xludf.DUMMYFUNCTION("""COMPUTED_VALUE"""),1.57777339E8)</f>
        <v>157777339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>
        <f>IFERROR(__xludf.DUMMYFUNCTION("""COMPUTED_VALUE"""),44929.66666666667)</f>
        <v>44929.66667</v>
      </c>
      <c r="B68" s="3">
        <f>IFERROR(__xludf.DUMMYFUNCTION("""COMPUTED_VALUE"""),118.47)</f>
        <v>118.47</v>
      </c>
      <c r="C68" s="3">
        <f>IFERROR(__xludf.DUMMYFUNCTION("""COMPUTED_VALUE"""),118.8)</f>
        <v>118.8</v>
      </c>
      <c r="D68" s="3">
        <f>IFERROR(__xludf.DUMMYFUNCTION("""COMPUTED_VALUE"""),104.64)</f>
        <v>104.64</v>
      </c>
      <c r="E68" s="3">
        <f>IFERROR(__xludf.DUMMYFUNCTION("""COMPUTED_VALUE"""),108.1)</f>
        <v>108.1</v>
      </c>
      <c r="F68" s="3">
        <f>IFERROR(__xludf.DUMMYFUNCTION("""COMPUTED_VALUE"""),2.31402818E8)</f>
        <v>231402818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>
        <f>IFERROR(__xludf.DUMMYFUNCTION("""COMPUTED_VALUE"""),44930.66666666667)</f>
        <v>44930.66667</v>
      </c>
      <c r="B69" s="3">
        <f>IFERROR(__xludf.DUMMYFUNCTION("""COMPUTED_VALUE"""),109.11)</f>
        <v>109.11</v>
      </c>
      <c r="C69" s="3">
        <f>IFERROR(__xludf.DUMMYFUNCTION("""COMPUTED_VALUE"""),114.59)</f>
        <v>114.59</v>
      </c>
      <c r="D69" s="3">
        <f>IFERROR(__xludf.DUMMYFUNCTION("""COMPUTED_VALUE"""),107.52)</f>
        <v>107.52</v>
      </c>
      <c r="E69" s="3">
        <f>IFERROR(__xludf.DUMMYFUNCTION("""COMPUTED_VALUE"""),113.64)</f>
        <v>113.64</v>
      </c>
      <c r="F69" s="3">
        <f>IFERROR(__xludf.DUMMYFUNCTION("""COMPUTED_VALUE"""),1.80388976E8)</f>
        <v>180388976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>
        <f>IFERROR(__xludf.DUMMYFUNCTION("""COMPUTED_VALUE"""),44931.66666666667)</f>
        <v>44931.66667</v>
      </c>
      <c r="B70" s="3">
        <f>IFERROR(__xludf.DUMMYFUNCTION("""COMPUTED_VALUE"""),110.51)</f>
        <v>110.51</v>
      </c>
      <c r="C70" s="3">
        <f>IFERROR(__xludf.DUMMYFUNCTION("""COMPUTED_VALUE"""),111.75)</f>
        <v>111.75</v>
      </c>
      <c r="D70" s="3">
        <f>IFERROR(__xludf.DUMMYFUNCTION("""COMPUTED_VALUE"""),107.16)</f>
        <v>107.16</v>
      </c>
      <c r="E70" s="3">
        <f>IFERROR(__xludf.DUMMYFUNCTION("""COMPUTED_VALUE"""),110.34)</f>
        <v>110.34</v>
      </c>
      <c r="F70" s="3">
        <f>IFERROR(__xludf.DUMMYFUNCTION("""COMPUTED_VALUE"""),1.57986324E8)</f>
        <v>157986324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>
        <f>IFERROR(__xludf.DUMMYFUNCTION("""COMPUTED_VALUE"""),44932.66666666667)</f>
        <v>44932.66667</v>
      </c>
      <c r="B71" s="3">
        <f>IFERROR(__xludf.DUMMYFUNCTION("""COMPUTED_VALUE"""),103.0)</f>
        <v>103</v>
      </c>
      <c r="C71" s="3">
        <f>IFERROR(__xludf.DUMMYFUNCTION("""COMPUTED_VALUE"""),114.39)</f>
        <v>114.39</v>
      </c>
      <c r="D71" s="3">
        <f>IFERROR(__xludf.DUMMYFUNCTION("""COMPUTED_VALUE"""),101.81)</f>
        <v>101.81</v>
      </c>
      <c r="E71" s="3">
        <f>IFERROR(__xludf.DUMMYFUNCTION("""COMPUTED_VALUE"""),113.06)</f>
        <v>113.06</v>
      </c>
      <c r="F71" s="3">
        <f>IFERROR(__xludf.DUMMYFUNCTION("""COMPUTED_VALUE"""),2.20911051E8)</f>
        <v>220911051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>
        <f>IFERROR(__xludf.DUMMYFUNCTION("""COMPUTED_VALUE"""),44935.66666666667)</f>
        <v>44935.66667</v>
      </c>
      <c r="B72" s="3">
        <f>IFERROR(__xludf.DUMMYFUNCTION("""COMPUTED_VALUE"""),118.96)</f>
        <v>118.96</v>
      </c>
      <c r="C72" s="3">
        <f>IFERROR(__xludf.DUMMYFUNCTION("""COMPUTED_VALUE"""),123.52)</f>
        <v>123.52</v>
      </c>
      <c r="D72" s="3">
        <f>IFERROR(__xludf.DUMMYFUNCTION("""COMPUTED_VALUE"""),117.11)</f>
        <v>117.11</v>
      </c>
      <c r="E72" s="3">
        <f>IFERROR(__xludf.DUMMYFUNCTION("""COMPUTED_VALUE"""),119.77)</f>
        <v>119.77</v>
      </c>
      <c r="F72" s="3">
        <f>IFERROR(__xludf.DUMMYFUNCTION("""COMPUTED_VALUE"""),1.90283951E8)</f>
        <v>190283951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>
        <f>IFERROR(__xludf.DUMMYFUNCTION("""COMPUTED_VALUE"""),44936.66666666667)</f>
        <v>44936.66667</v>
      </c>
      <c r="B73" s="3">
        <f>IFERROR(__xludf.DUMMYFUNCTION("""COMPUTED_VALUE"""),121.07)</f>
        <v>121.07</v>
      </c>
      <c r="C73" s="3">
        <f>IFERROR(__xludf.DUMMYFUNCTION("""COMPUTED_VALUE"""),122.76)</f>
        <v>122.76</v>
      </c>
      <c r="D73" s="3">
        <f>IFERROR(__xludf.DUMMYFUNCTION("""COMPUTED_VALUE"""),114.92)</f>
        <v>114.92</v>
      </c>
      <c r="E73" s="3">
        <f>IFERROR(__xludf.DUMMYFUNCTION("""COMPUTED_VALUE"""),118.85)</f>
        <v>118.85</v>
      </c>
      <c r="F73" s="3">
        <f>IFERROR(__xludf.DUMMYFUNCTION("""COMPUTED_VALUE"""),1.67642485E8)</f>
        <v>167642485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>
        <f>IFERROR(__xludf.DUMMYFUNCTION("""COMPUTED_VALUE"""),44937.66666666667)</f>
        <v>44937.66667</v>
      </c>
      <c r="B74" s="3">
        <f>IFERROR(__xludf.DUMMYFUNCTION("""COMPUTED_VALUE"""),122.09)</f>
        <v>122.09</v>
      </c>
      <c r="C74" s="3">
        <f>IFERROR(__xludf.DUMMYFUNCTION("""COMPUTED_VALUE"""),125.95)</f>
        <v>125.95</v>
      </c>
      <c r="D74" s="3">
        <f>IFERROR(__xludf.DUMMYFUNCTION("""COMPUTED_VALUE"""),120.51)</f>
        <v>120.51</v>
      </c>
      <c r="E74" s="3">
        <f>IFERROR(__xludf.DUMMYFUNCTION("""COMPUTED_VALUE"""),123.22)</f>
        <v>123.22</v>
      </c>
      <c r="F74" s="3">
        <f>IFERROR(__xludf.DUMMYFUNCTION("""COMPUTED_VALUE"""),1.83810771E8)</f>
        <v>183810771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>
        <f>IFERROR(__xludf.DUMMYFUNCTION("""COMPUTED_VALUE"""),44938.66666666667)</f>
        <v>44938.66667</v>
      </c>
      <c r="B75" s="3">
        <f>IFERROR(__xludf.DUMMYFUNCTION("""COMPUTED_VALUE"""),122.56)</f>
        <v>122.56</v>
      </c>
      <c r="C75" s="3">
        <f>IFERROR(__xludf.DUMMYFUNCTION("""COMPUTED_VALUE"""),124.13)</f>
        <v>124.13</v>
      </c>
      <c r="D75" s="3">
        <f>IFERROR(__xludf.DUMMYFUNCTION("""COMPUTED_VALUE"""),117.0)</f>
        <v>117</v>
      </c>
      <c r="E75" s="3">
        <f>IFERROR(__xludf.DUMMYFUNCTION("""COMPUTED_VALUE"""),123.56)</f>
        <v>123.56</v>
      </c>
      <c r="F75" s="3">
        <f>IFERROR(__xludf.DUMMYFUNCTION("""COMPUTED_VALUE"""),1.69400913E8)</f>
        <v>169400913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>
        <f>IFERROR(__xludf.DUMMYFUNCTION("""COMPUTED_VALUE"""),44939.66666666667)</f>
        <v>44939.66667</v>
      </c>
      <c r="B76" s="3">
        <f>IFERROR(__xludf.DUMMYFUNCTION("""COMPUTED_VALUE"""),116.55)</f>
        <v>116.55</v>
      </c>
      <c r="C76" s="3">
        <f>IFERROR(__xludf.DUMMYFUNCTION("""COMPUTED_VALUE"""),122.63)</f>
        <v>122.63</v>
      </c>
      <c r="D76" s="3">
        <f>IFERROR(__xludf.DUMMYFUNCTION("""COMPUTED_VALUE"""),115.6)</f>
        <v>115.6</v>
      </c>
      <c r="E76" s="3">
        <f>IFERROR(__xludf.DUMMYFUNCTION("""COMPUTED_VALUE"""),122.4)</f>
        <v>122.4</v>
      </c>
      <c r="F76" s="3">
        <f>IFERROR(__xludf.DUMMYFUNCTION("""COMPUTED_VALUE"""),1.80714119E8)</f>
        <v>180714119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>
        <f>IFERROR(__xludf.DUMMYFUNCTION("""COMPUTED_VALUE"""),44943.66666666667)</f>
        <v>44943.66667</v>
      </c>
      <c r="B77" s="3">
        <f>IFERROR(__xludf.DUMMYFUNCTION("""COMPUTED_VALUE"""),125.7)</f>
        <v>125.7</v>
      </c>
      <c r="C77" s="3">
        <f>IFERROR(__xludf.DUMMYFUNCTION("""COMPUTED_VALUE"""),131.7)</f>
        <v>131.7</v>
      </c>
      <c r="D77" s="3">
        <f>IFERROR(__xludf.DUMMYFUNCTION("""COMPUTED_VALUE"""),125.02)</f>
        <v>125.02</v>
      </c>
      <c r="E77" s="3">
        <f>IFERROR(__xludf.DUMMYFUNCTION("""COMPUTED_VALUE"""),131.49)</f>
        <v>131.49</v>
      </c>
      <c r="F77" s="3">
        <f>IFERROR(__xludf.DUMMYFUNCTION("""COMPUTED_VALUE"""),1.86476985E8)</f>
        <v>186476985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>
        <f>IFERROR(__xludf.DUMMYFUNCTION("""COMPUTED_VALUE"""),44944.66666666667)</f>
        <v>44944.66667</v>
      </c>
      <c r="B78" s="3">
        <f>IFERROR(__xludf.DUMMYFUNCTION("""COMPUTED_VALUE"""),136.56)</f>
        <v>136.56</v>
      </c>
      <c r="C78" s="3">
        <f>IFERROR(__xludf.DUMMYFUNCTION("""COMPUTED_VALUE"""),136.68)</f>
        <v>136.68</v>
      </c>
      <c r="D78" s="3">
        <f>IFERROR(__xludf.DUMMYFUNCTION("""COMPUTED_VALUE"""),127.01)</f>
        <v>127.01</v>
      </c>
      <c r="E78" s="3">
        <f>IFERROR(__xludf.DUMMYFUNCTION("""COMPUTED_VALUE"""),128.78)</f>
        <v>128.78</v>
      </c>
      <c r="F78" s="3">
        <f>IFERROR(__xludf.DUMMYFUNCTION("""COMPUTED_VALUE"""),1.95680318E8)</f>
        <v>195680318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>
        <f>IFERROR(__xludf.DUMMYFUNCTION("""COMPUTED_VALUE"""),44945.66666666667)</f>
        <v>44945.66667</v>
      </c>
      <c r="B79" s="3">
        <f>IFERROR(__xludf.DUMMYFUNCTION("""COMPUTED_VALUE"""),127.26)</f>
        <v>127.26</v>
      </c>
      <c r="C79" s="3">
        <f>IFERROR(__xludf.DUMMYFUNCTION("""COMPUTED_VALUE"""),129.99)</f>
        <v>129.99</v>
      </c>
      <c r="D79" s="3">
        <f>IFERROR(__xludf.DUMMYFUNCTION("""COMPUTED_VALUE"""),124.31)</f>
        <v>124.31</v>
      </c>
      <c r="E79" s="3">
        <f>IFERROR(__xludf.DUMMYFUNCTION("""COMPUTED_VALUE"""),127.17)</f>
        <v>127.17</v>
      </c>
      <c r="F79" s="3">
        <f>IFERROR(__xludf.DUMMYFUNCTION("""COMPUTED_VALUE"""),1.7029188E8)</f>
        <v>170291880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>
        <f>IFERROR(__xludf.DUMMYFUNCTION("""COMPUTED_VALUE"""),44946.66666666667)</f>
        <v>44946.66667</v>
      </c>
      <c r="B80" s="3">
        <f>IFERROR(__xludf.DUMMYFUNCTION("""COMPUTED_VALUE"""),128.68)</f>
        <v>128.68</v>
      </c>
      <c r="C80" s="3">
        <f>IFERROR(__xludf.DUMMYFUNCTION("""COMPUTED_VALUE"""),133.51)</f>
        <v>133.51</v>
      </c>
      <c r="D80" s="3">
        <f>IFERROR(__xludf.DUMMYFUNCTION("""COMPUTED_VALUE"""),127.35)</f>
        <v>127.35</v>
      </c>
      <c r="E80" s="3">
        <f>IFERROR(__xludf.DUMMYFUNCTION("""COMPUTED_VALUE"""),133.42)</f>
        <v>133.42</v>
      </c>
      <c r="F80" s="3">
        <f>IFERROR(__xludf.DUMMYFUNCTION("""COMPUTED_VALUE"""),1.38858136E8)</f>
        <v>138858136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>
        <f>IFERROR(__xludf.DUMMYFUNCTION("""COMPUTED_VALUE"""),44949.66666666667)</f>
        <v>44949.66667</v>
      </c>
      <c r="B81" s="3">
        <f>IFERROR(__xludf.DUMMYFUNCTION("""COMPUTED_VALUE"""),135.87)</f>
        <v>135.87</v>
      </c>
      <c r="C81" s="3">
        <f>IFERROR(__xludf.DUMMYFUNCTION("""COMPUTED_VALUE"""),145.38)</f>
        <v>145.38</v>
      </c>
      <c r="D81" s="3">
        <f>IFERROR(__xludf.DUMMYFUNCTION("""COMPUTED_VALUE"""),134.27)</f>
        <v>134.27</v>
      </c>
      <c r="E81" s="3">
        <f>IFERROR(__xludf.DUMMYFUNCTION("""COMPUTED_VALUE"""),143.75)</f>
        <v>143.75</v>
      </c>
      <c r="F81" s="3">
        <f>IFERROR(__xludf.DUMMYFUNCTION("""COMPUTED_VALUE"""),2.03119211E8)</f>
        <v>203119211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>
        <f>IFERROR(__xludf.DUMMYFUNCTION("""COMPUTED_VALUE"""),44950.66666666667)</f>
        <v>44950.66667</v>
      </c>
      <c r="B82" s="3">
        <f>IFERROR(__xludf.DUMMYFUNCTION("""COMPUTED_VALUE"""),143.0)</f>
        <v>143</v>
      </c>
      <c r="C82" s="3">
        <f>IFERROR(__xludf.DUMMYFUNCTION("""COMPUTED_VALUE"""),146.5)</f>
        <v>146.5</v>
      </c>
      <c r="D82" s="3">
        <f>IFERROR(__xludf.DUMMYFUNCTION("""COMPUTED_VALUE"""),141.1)</f>
        <v>141.1</v>
      </c>
      <c r="E82" s="3">
        <f>IFERROR(__xludf.DUMMYFUNCTION("""COMPUTED_VALUE"""),143.89)</f>
        <v>143.89</v>
      </c>
      <c r="F82" s="3">
        <f>IFERROR(__xludf.DUMMYFUNCTION("""COMPUTED_VALUE"""),1.58699056E8)</f>
        <v>158699056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>
        <f>IFERROR(__xludf.DUMMYFUNCTION("""COMPUTED_VALUE"""),44951.66666666667)</f>
        <v>44951.66667</v>
      </c>
      <c r="B83" s="3">
        <f>IFERROR(__xludf.DUMMYFUNCTION("""COMPUTED_VALUE"""),141.91)</f>
        <v>141.91</v>
      </c>
      <c r="C83" s="3">
        <f>IFERROR(__xludf.DUMMYFUNCTION("""COMPUTED_VALUE"""),146.41)</f>
        <v>146.41</v>
      </c>
      <c r="D83" s="3">
        <f>IFERROR(__xludf.DUMMYFUNCTION("""COMPUTED_VALUE"""),138.07)</f>
        <v>138.07</v>
      </c>
      <c r="E83" s="3">
        <f>IFERROR(__xludf.DUMMYFUNCTION("""COMPUTED_VALUE"""),144.43)</f>
        <v>144.43</v>
      </c>
      <c r="F83" s="3">
        <f>IFERROR(__xludf.DUMMYFUNCTION("""COMPUTED_VALUE"""),1.92734347E8)</f>
        <v>192734347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>
        <f>IFERROR(__xludf.DUMMYFUNCTION("""COMPUTED_VALUE"""),44952.66666666667)</f>
        <v>44952.66667</v>
      </c>
      <c r="B84" s="3">
        <f>IFERROR(__xludf.DUMMYFUNCTION("""COMPUTED_VALUE"""),159.97)</f>
        <v>159.97</v>
      </c>
      <c r="C84" s="3">
        <f>IFERROR(__xludf.DUMMYFUNCTION("""COMPUTED_VALUE"""),161.42)</f>
        <v>161.42</v>
      </c>
      <c r="D84" s="3">
        <f>IFERROR(__xludf.DUMMYFUNCTION("""COMPUTED_VALUE"""),154.76)</f>
        <v>154.76</v>
      </c>
      <c r="E84" s="3">
        <f>IFERROR(__xludf.DUMMYFUNCTION("""COMPUTED_VALUE"""),160.27)</f>
        <v>160.27</v>
      </c>
      <c r="F84" s="3">
        <f>IFERROR(__xludf.DUMMYFUNCTION("""COMPUTED_VALUE"""),2.3481509E8)</f>
        <v>234815090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>
        <f>IFERROR(__xludf.DUMMYFUNCTION("""COMPUTED_VALUE"""),44953.66666666667)</f>
        <v>44953.66667</v>
      </c>
      <c r="B85" s="3">
        <f>IFERROR(__xludf.DUMMYFUNCTION("""COMPUTED_VALUE"""),162.43)</f>
        <v>162.43</v>
      </c>
      <c r="C85" s="3">
        <f>IFERROR(__xludf.DUMMYFUNCTION("""COMPUTED_VALUE"""),180.68)</f>
        <v>180.68</v>
      </c>
      <c r="D85" s="3">
        <f>IFERROR(__xludf.DUMMYFUNCTION("""COMPUTED_VALUE"""),161.17)</f>
        <v>161.17</v>
      </c>
      <c r="E85" s="3">
        <f>IFERROR(__xludf.DUMMYFUNCTION("""COMPUTED_VALUE"""),177.9)</f>
        <v>177.9</v>
      </c>
      <c r="F85" s="3">
        <f>IFERROR(__xludf.DUMMYFUNCTION("""COMPUTED_VALUE"""),3.06590613E8)</f>
        <v>306590613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>
        <f>IFERROR(__xludf.DUMMYFUNCTION("""COMPUTED_VALUE"""),44956.66666666667)</f>
        <v>44956.66667</v>
      </c>
      <c r="B86" s="3">
        <f>IFERROR(__xludf.DUMMYFUNCTION("""COMPUTED_VALUE"""),178.05)</f>
        <v>178.05</v>
      </c>
      <c r="C86" s="3">
        <f>IFERROR(__xludf.DUMMYFUNCTION("""COMPUTED_VALUE"""),179.77)</f>
        <v>179.77</v>
      </c>
      <c r="D86" s="3">
        <f>IFERROR(__xludf.DUMMYFUNCTION("""COMPUTED_VALUE"""),166.5)</f>
        <v>166.5</v>
      </c>
      <c r="E86" s="3">
        <f>IFERROR(__xludf.DUMMYFUNCTION("""COMPUTED_VALUE"""),166.66)</f>
        <v>166.66</v>
      </c>
      <c r="F86" s="3">
        <f>IFERROR(__xludf.DUMMYFUNCTION("""COMPUTED_VALUE"""),2.30878807E8)</f>
        <v>230878807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>
        <f>IFERROR(__xludf.DUMMYFUNCTION("""COMPUTED_VALUE"""),44957.66666666667)</f>
        <v>44957.66667</v>
      </c>
      <c r="B87" s="3">
        <f>IFERROR(__xludf.DUMMYFUNCTION("""COMPUTED_VALUE"""),164.57)</f>
        <v>164.57</v>
      </c>
      <c r="C87" s="3">
        <f>IFERROR(__xludf.DUMMYFUNCTION("""COMPUTED_VALUE"""),174.3)</f>
        <v>174.3</v>
      </c>
      <c r="D87" s="3">
        <f>IFERROR(__xludf.DUMMYFUNCTION("""COMPUTED_VALUE"""),162.78)</f>
        <v>162.78</v>
      </c>
      <c r="E87" s="3">
        <f>IFERROR(__xludf.DUMMYFUNCTION("""COMPUTED_VALUE"""),173.22)</f>
        <v>173.22</v>
      </c>
      <c r="F87" s="3">
        <f>IFERROR(__xludf.DUMMYFUNCTION("""COMPUTED_VALUE"""),1.96813541E8)</f>
        <v>196813541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>
        <f>IFERROR(__xludf.DUMMYFUNCTION("""COMPUTED_VALUE"""),44958.66666666667)</f>
        <v>44958.66667</v>
      </c>
      <c r="B88" s="3">
        <f>IFERROR(__xludf.DUMMYFUNCTION("""COMPUTED_VALUE"""),173.89)</f>
        <v>173.89</v>
      </c>
      <c r="C88" s="3">
        <f>IFERROR(__xludf.DUMMYFUNCTION("""COMPUTED_VALUE"""),183.81)</f>
        <v>183.81</v>
      </c>
      <c r="D88" s="3">
        <f>IFERROR(__xludf.DUMMYFUNCTION("""COMPUTED_VALUE"""),169.93)</f>
        <v>169.93</v>
      </c>
      <c r="E88" s="3">
        <f>IFERROR(__xludf.DUMMYFUNCTION("""COMPUTED_VALUE"""),181.41)</f>
        <v>181.41</v>
      </c>
      <c r="F88" s="3">
        <f>IFERROR(__xludf.DUMMYFUNCTION("""COMPUTED_VALUE"""),2.13806323E8)</f>
        <v>213806323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>
        <f>IFERROR(__xludf.DUMMYFUNCTION("""COMPUTED_VALUE"""),44959.66666666667)</f>
        <v>44959.66667</v>
      </c>
      <c r="B89" s="3">
        <f>IFERROR(__xludf.DUMMYFUNCTION("""COMPUTED_VALUE"""),187.33)</f>
        <v>187.33</v>
      </c>
      <c r="C89" s="3">
        <f>IFERROR(__xludf.DUMMYFUNCTION("""COMPUTED_VALUE"""),196.75)</f>
        <v>196.75</v>
      </c>
      <c r="D89" s="3">
        <f>IFERROR(__xludf.DUMMYFUNCTION("""COMPUTED_VALUE"""),182.61)</f>
        <v>182.61</v>
      </c>
      <c r="E89" s="3">
        <f>IFERROR(__xludf.DUMMYFUNCTION("""COMPUTED_VALUE"""),188.27)</f>
        <v>188.27</v>
      </c>
      <c r="F89" s="3">
        <f>IFERROR(__xludf.DUMMYFUNCTION("""COMPUTED_VALUE"""),2.17448287E8)</f>
        <v>217448287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>
        <f>IFERROR(__xludf.DUMMYFUNCTION("""COMPUTED_VALUE"""),44960.66666666667)</f>
        <v>44960.66667</v>
      </c>
      <c r="B90" s="3">
        <f>IFERROR(__xludf.DUMMYFUNCTION("""COMPUTED_VALUE"""),183.95)</f>
        <v>183.95</v>
      </c>
      <c r="C90" s="3">
        <f>IFERROR(__xludf.DUMMYFUNCTION("""COMPUTED_VALUE"""),199.0)</f>
        <v>199</v>
      </c>
      <c r="D90" s="3">
        <f>IFERROR(__xludf.DUMMYFUNCTION("""COMPUTED_VALUE"""),183.69)</f>
        <v>183.69</v>
      </c>
      <c r="E90" s="3">
        <f>IFERROR(__xludf.DUMMYFUNCTION("""COMPUTED_VALUE"""),189.98)</f>
        <v>189.98</v>
      </c>
      <c r="F90" s="3">
        <f>IFERROR(__xludf.DUMMYFUNCTION("""COMPUTED_VALUE"""),2.32662023E8)</f>
        <v>232662023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>
        <f>IFERROR(__xludf.DUMMYFUNCTION("""COMPUTED_VALUE"""),44963.66666666667)</f>
        <v>44963.66667</v>
      </c>
      <c r="B91" s="3">
        <f>IFERROR(__xludf.DUMMYFUNCTION("""COMPUTED_VALUE"""),193.01)</f>
        <v>193.01</v>
      </c>
      <c r="C91" s="3">
        <f>IFERROR(__xludf.DUMMYFUNCTION("""COMPUTED_VALUE"""),198.17)</f>
        <v>198.17</v>
      </c>
      <c r="D91" s="3">
        <f>IFERROR(__xludf.DUMMYFUNCTION("""COMPUTED_VALUE"""),189.92)</f>
        <v>189.92</v>
      </c>
      <c r="E91" s="3">
        <f>IFERROR(__xludf.DUMMYFUNCTION("""COMPUTED_VALUE"""),194.76)</f>
        <v>194.76</v>
      </c>
      <c r="F91" s="3">
        <f>IFERROR(__xludf.DUMMYFUNCTION("""COMPUTED_VALUE"""),1.86188131E8)</f>
        <v>186188131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>
        <f>IFERROR(__xludf.DUMMYFUNCTION("""COMPUTED_VALUE"""),44964.66666666667)</f>
        <v>44964.66667</v>
      </c>
      <c r="B92" s="3">
        <f>IFERROR(__xludf.DUMMYFUNCTION("""COMPUTED_VALUE"""),196.43)</f>
        <v>196.43</v>
      </c>
      <c r="C92" s="3">
        <f>IFERROR(__xludf.DUMMYFUNCTION("""COMPUTED_VALUE"""),197.5)</f>
        <v>197.5</v>
      </c>
      <c r="D92" s="3">
        <f>IFERROR(__xludf.DUMMYFUNCTION("""COMPUTED_VALUE"""),189.55)</f>
        <v>189.55</v>
      </c>
      <c r="E92" s="3">
        <f>IFERROR(__xludf.DUMMYFUNCTION("""COMPUTED_VALUE"""),196.81)</f>
        <v>196.81</v>
      </c>
      <c r="F92" s="3">
        <f>IFERROR(__xludf.DUMMYFUNCTION("""COMPUTED_VALUE"""),1.86010325E8)</f>
        <v>186010325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>
        <f>IFERROR(__xludf.DUMMYFUNCTION("""COMPUTED_VALUE"""),44965.66666666667)</f>
        <v>44965.66667</v>
      </c>
      <c r="B93" s="3">
        <f>IFERROR(__xludf.DUMMYFUNCTION("""COMPUTED_VALUE"""),196.1)</f>
        <v>196.1</v>
      </c>
      <c r="C93" s="3">
        <f>IFERROR(__xludf.DUMMYFUNCTION("""COMPUTED_VALUE"""),203.0)</f>
        <v>203</v>
      </c>
      <c r="D93" s="3">
        <f>IFERROR(__xludf.DUMMYFUNCTION("""COMPUTED_VALUE"""),194.31)</f>
        <v>194.31</v>
      </c>
      <c r="E93" s="3">
        <f>IFERROR(__xludf.DUMMYFUNCTION("""COMPUTED_VALUE"""),201.29)</f>
        <v>201.29</v>
      </c>
      <c r="F93" s="3">
        <f>IFERROR(__xludf.DUMMYFUNCTION("""COMPUTED_VALUE"""),1.80673644E8)</f>
        <v>180673644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>
        <f>IFERROR(__xludf.DUMMYFUNCTION("""COMPUTED_VALUE"""),44966.66666666667)</f>
        <v>44966.66667</v>
      </c>
      <c r="B94" s="3">
        <f>IFERROR(__xludf.DUMMYFUNCTION("""COMPUTED_VALUE"""),207.78)</f>
        <v>207.78</v>
      </c>
      <c r="C94" s="3">
        <f>IFERROR(__xludf.DUMMYFUNCTION("""COMPUTED_VALUE"""),214.0)</f>
        <v>214</v>
      </c>
      <c r="D94" s="3">
        <f>IFERROR(__xludf.DUMMYFUNCTION("""COMPUTED_VALUE"""),204.77)</f>
        <v>204.77</v>
      </c>
      <c r="E94" s="3">
        <f>IFERROR(__xludf.DUMMYFUNCTION("""COMPUTED_VALUE"""),207.32)</f>
        <v>207.32</v>
      </c>
      <c r="F94" s="3">
        <f>IFERROR(__xludf.DUMMYFUNCTION("""COMPUTED_VALUE"""),2.15431442E8)</f>
        <v>215431442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>
        <f>IFERROR(__xludf.DUMMYFUNCTION("""COMPUTED_VALUE"""),44967.66666666667)</f>
        <v>44967.66667</v>
      </c>
      <c r="B95" s="3">
        <f>IFERROR(__xludf.DUMMYFUNCTION("""COMPUTED_VALUE"""),202.23)</f>
        <v>202.23</v>
      </c>
      <c r="C95" s="3">
        <f>IFERROR(__xludf.DUMMYFUNCTION("""COMPUTED_VALUE"""),206.2)</f>
        <v>206.2</v>
      </c>
      <c r="D95" s="3">
        <f>IFERROR(__xludf.DUMMYFUNCTION("""COMPUTED_VALUE"""),192.89)</f>
        <v>192.89</v>
      </c>
      <c r="E95" s="3">
        <f>IFERROR(__xludf.DUMMYFUNCTION("""COMPUTED_VALUE"""),196.89)</f>
        <v>196.89</v>
      </c>
      <c r="F95" s="3">
        <f>IFERROR(__xludf.DUMMYFUNCTION("""COMPUTED_VALUE"""),2.04754129E8)</f>
        <v>204754129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>
        <f>IFERROR(__xludf.DUMMYFUNCTION("""COMPUTED_VALUE"""),44970.66666666667)</f>
        <v>44970.66667</v>
      </c>
      <c r="B96" s="3">
        <f>IFERROR(__xludf.DUMMYFUNCTION("""COMPUTED_VALUE"""),194.42)</f>
        <v>194.42</v>
      </c>
      <c r="C96" s="3">
        <f>IFERROR(__xludf.DUMMYFUNCTION("""COMPUTED_VALUE"""),196.3)</f>
        <v>196.3</v>
      </c>
      <c r="D96" s="3">
        <f>IFERROR(__xludf.DUMMYFUNCTION("""COMPUTED_VALUE"""),187.61)</f>
        <v>187.61</v>
      </c>
      <c r="E96" s="3">
        <f>IFERROR(__xludf.DUMMYFUNCTION("""COMPUTED_VALUE"""),194.64)</f>
        <v>194.64</v>
      </c>
      <c r="F96" s="3">
        <f>IFERROR(__xludf.DUMMYFUNCTION("""COMPUTED_VALUE"""),1.72475452E8)</f>
        <v>172475452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>
        <f>IFERROR(__xludf.DUMMYFUNCTION("""COMPUTED_VALUE"""),44971.66666666667)</f>
        <v>44971.66667</v>
      </c>
      <c r="B97" s="3">
        <f>IFERROR(__xludf.DUMMYFUNCTION("""COMPUTED_VALUE"""),191.94)</f>
        <v>191.94</v>
      </c>
      <c r="C97" s="3">
        <f>IFERROR(__xludf.DUMMYFUNCTION("""COMPUTED_VALUE"""),209.82)</f>
        <v>209.82</v>
      </c>
      <c r="D97" s="3">
        <f>IFERROR(__xludf.DUMMYFUNCTION("""COMPUTED_VALUE"""),189.44)</f>
        <v>189.44</v>
      </c>
      <c r="E97" s="3">
        <f>IFERROR(__xludf.DUMMYFUNCTION("""COMPUTED_VALUE"""),209.25)</f>
        <v>209.25</v>
      </c>
      <c r="F97" s="3">
        <f>IFERROR(__xludf.DUMMYFUNCTION("""COMPUTED_VALUE"""),2.16455708E8)</f>
        <v>216455708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>
        <f>IFERROR(__xludf.DUMMYFUNCTION("""COMPUTED_VALUE"""),44972.66666666667)</f>
        <v>44972.66667</v>
      </c>
      <c r="B98" s="3">
        <f>IFERROR(__xludf.DUMMYFUNCTION("""COMPUTED_VALUE"""),211.76)</f>
        <v>211.76</v>
      </c>
      <c r="C98" s="3">
        <f>IFERROR(__xludf.DUMMYFUNCTION("""COMPUTED_VALUE"""),214.66)</f>
        <v>214.66</v>
      </c>
      <c r="D98" s="3">
        <f>IFERROR(__xludf.DUMMYFUNCTION("""COMPUTED_VALUE"""),206.11)</f>
        <v>206.11</v>
      </c>
      <c r="E98" s="3">
        <f>IFERROR(__xludf.DUMMYFUNCTION("""COMPUTED_VALUE"""),214.24)</f>
        <v>214.24</v>
      </c>
      <c r="F98" s="3">
        <f>IFERROR(__xludf.DUMMYFUNCTION("""COMPUTED_VALUE"""),1.82108581E8)</f>
        <v>182108581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>
        <f>IFERROR(__xludf.DUMMYFUNCTION("""COMPUTED_VALUE"""),44973.66666666667)</f>
        <v>44973.66667</v>
      </c>
      <c r="B99" s="3">
        <f>IFERROR(__xludf.DUMMYFUNCTION("""COMPUTED_VALUE"""),210.78)</f>
        <v>210.78</v>
      </c>
      <c r="C99" s="3">
        <f>IFERROR(__xludf.DUMMYFUNCTION("""COMPUTED_VALUE"""),217.65)</f>
        <v>217.65</v>
      </c>
      <c r="D99" s="3">
        <f>IFERROR(__xludf.DUMMYFUNCTION("""COMPUTED_VALUE"""),201.84)</f>
        <v>201.84</v>
      </c>
      <c r="E99" s="3">
        <f>IFERROR(__xludf.DUMMYFUNCTION("""COMPUTED_VALUE"""),202.04)</f>
        <v>202.04</v>
      </c>
      <c r="F99" s="3">
        <f>IFERROR(__xludf.DUMMYFUNCTION("""COMPUTED_VALUE"""),2.29586538E8)</f>
        <v>229586538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>
        <f>IFERROR(__xludf.DUMMYFUNCTION("""COMPUTED_VALUE"""),44974.66666666667)</f>
        <v>44974.66667</v>
      </c>
      <c r="B100" s="3">
        <f>IFERROR(__xludf.DUMMYFUNCTION("""COMPUTED_VALUE"""),199.99)</f>
        <v>199.99</v>
      </c>
      <c r="C100" s="3">
        <f>IFERROR(__xludf.DUMMYFUNCTION("""COMPUTED_VALUE"""),208.44)</f>
        <v>208.44</v>
      </c>
      <c r="D100" s="3">
        <f>IFERROR(__xludf.DUMMYFUNCTION("""COMPUTED_VALUE"""),197.5)</f>
        <v>197.5</v>
      </c>
      <c r="E100" s="3">
        <f>IFERROR(__xludf.DUMMYFUNCTION("""COMPUTED_VALUE"""),208.31)</f>
        <v>208.31</v>
      </c>
      <c r="F100" s="3">
        <f>IFERROR(__xludf.DUMMYFUNCTION("""COMPUTED_VALUE"""),2.13738549E8)</f>
        <v>213738549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>
        <f>IFERROR(__xludf.DUMMYFUNCTION("""COMPUTED_VALUE"""),44978.66666666667)</f>
        <v>44978.66667</v>
      </c>
      <c r="B101" s="3">
        <f>IFERROR(__xludf.DUMMYFUNCTION("""COMPUTED_VALUE"""),204.99)</f>
        <v>204.99</v>
      </c>
      <c r="C101" s="3">
        <f>IFERROR(__xludf.DUMMYFUNCTION("""COMPUTED_VALUE"""),209.71)</f>
        <v>209.71</v>
      </c>
      <c r="D101" s="3">
        <f>IFERROR(__xludf.DUMMYFUNCTION("""COMPUTED_VALUE"""),197.22)</f>
        <v>197.22</v>
      </c>
      <c r="E101" s="3">
        <f>IFERROR(__xludf.DUMMYFUNCTION("""COMPUTED_VALUE"""),197.37)</f>
        <v>197.37</v>
      </c>
      <c r="F101" s="3">
        <f>IFERROR(__xludf.DUMMYFUNCTION("""COMPUTED_VALUE"""),1.80018588E8)</f>
        <v>180018588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>
        <f>IFERROR(__xludf.DUMMYFUNCTION("""COMPUTED_VALUE"""),44979.66666666667)</f>
        <v>44979.66667</v>
      </c>
      <c r="B102" s="3">
        <f>IFERROR(__xludf.DUMMYFUNCTION("""COMPUTED_VALUE"""),197.93)</f>
        <v>197.93</v>
      </c>
      <c r="C102" s="3">
        <f>IFERROR(__xludf.DUMMYFUNCTION("""COMPUTED_VALUE"""),201.99)</f>
        <v>201.99</v>
      </c>
      <c r="D102" s="3">
        <f>IFERROR(__xludf.DUMMYFUNCTION("""COMPUTED_VALUE"""),191.78)</f>
        <v>191.78</v>
      </c>
      <c r="E102" s="3">
        <f>IFERROR(__xludf.DUMMYFUNCTION("""COMPUTED_VALUE"""),200.86)</f>
        <v>200.86</v>
      </c>
      <c r="F102" s="3">
        <f>IFERROR(__xludf.DUMMYFUNCTION("""COMPUTED_VALUE"""),1.91828457E8)</f>
        <v>191828457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>
        <f>IFERROR(__xludf.DUMMYFUNCTION("""COMPUTED_VALUE"""),44980.66666666667)</f>
        <v>44980.66667</v>
      </c>
      <c r="B103" s="3">
        <f>IFERROR(__xludf.DUMMYFUNCTION("""COMPUTED_VALUE"""),203.91)</f>
        <v>203.91</v>
      </c>
      <c r="C103" s="3">
        <f>IFERROR(__xludf.DUMMYFUNCTION("""COMPUTED_VALUE"""),205.14)</f>
        <v>205.14</v>
      </c>
      <c r="D103" s="3">
        <f>IFERROR(__xludf.DUMMYFUNCTION("""COMPUTED_VALUE"""),196.33)</f>
        <v>196.33</v>
      </c>
      <c r="E103" s="3">
        <f>IFERROR(__xludf.DUMMYFUNCTION("""COMPUTED_VALUE"""),202.07)</f>
        <v>202.07</v>
      </c>
      <c r="F103" s="3">
        <f>IFERROR(__xludf.DUMMYFUNCTION("""COMPUTED_VALUE"""),1.4635995E8)</f>
        <v>146359950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>
        <f>IFERROR(__xludf.DUMMYFUNCTION("""COMPUTED_VALUE"""),44981.66666666667)</f>
        <v>44981.66667</v>
      </c>
      <c r="B104" s="3">
        <f>IFERROR(__xludf.DUMMYFUNCTION("""COMPUTED_VALUE"""),196.33)</f>
        <v>196.33</v>
      </c>
      <c r="C104" s="3">
        <f>IFERROR(__xludf.DUMMYFUNCTION("""COMPUTED_VALUE"""),197.67)</f>
        <v>197.67</v>
      </c>
      <c r="D104" s="3">
        <f>IFERROR(__xludf.DUMMYFUNCTION("""COMPUTED_VALUE"""),192.8)</f>
        <v>192.8</v>
      </c>
      <c r="E104" s="3">
        <f>IFERROR(__xludf.DUMMYFUNCTION("""COMPUTED_VALUE"""),196.88)</f>
        <v>196.88</v>
      </c>
      <c r="F104" s="3">
        <f>IFERROR(__xludf.DUMMYFUNCTION("""COMPUTED_VALUE"""),1.42228105E8)</f>
        <v>142228105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>
        <f>IFERROR(__xludf.DUMMYFUNCTION("""COMPUTED_VALUE"""),44984.66666666667)</f>
        <v>44984.66667</v>
      </c>
      <c r="B105" s="3">
        <f>IFERROR(__xludf.DUMMYFUNCTION("""COMPUTED_VALUE"""),202.03)</f>
        <v>202.03</v>
      </c>
      <c r="C105" s="3">
        <f>IFERROR(__xludf.DUMMYFUNCTION("""COMPUTED_VALUE"""),209.42)</f>
        <v>209.42</v>
      </c>
      <c r="D105" s="3">
        <f>IFERROR(__xludf.DUMMYFUNCTION("""COMPUTED_VALUE"""),201.26)</f>
        <v>201.26</v>
      </c>
      <c r="E105" s="3">
        <f>IFERROR(__xludf.DUMMYFUNCTION("""COMPUTED_VALUE"""),207.63)</f>
        <v>207.63</v>
      </c>
      <c r="F105" s="3">
        <f>IFERROR(__xludf.DUMMYFUNCTION("""COMPUTED_VALUE"""),1.61028315E8)</f>
        <v>161028315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>
        <f>IFERROR(__xludf.DUMMYFUNCTION("""COMPUTED_VALUE"""),44985.66666666667)</f>
        <v>44985.66667</v>
      </c>
      <c r="B106" s="3">
        <f>IFERROR(__xludf.DUMMYFUNCTION("""COMPUTED_VALUE"""),210.59)</f>
        <v>210.59</v>
      </c>
      <c r="C106" s="3">
        <f>IFERROR(__xludf.DUMMYFUNCTION("""COMPUTED_VALUE"""),211.23)</f>
        <v>211.23</v>
      </c>
      <c r="D106" s="3">
        <f>IFERROR(__xludf.DUMMYFUNCTION("""COMPUTED_VALUE"""),203.75)</f>
        <v>203.75</v>
      </c>
      <c r="E106" s="3">
        <f>IFERROR(__xludf.DUMMYFUNCTION("""COMPUTED_VALUE"""),205.71)</f>
        <v>205.71</v>
      </c>
      <c r="F106" s="3">
        <f>IFERROR(__xludf.DUMMYFUNCTION("""COMPUTED_VALUE"""),1.53144912E8)</f>
        <v>153144912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>
        <f>IFERROR(__xludf.DUMMYFUNCTION("""COMPUTED_VALUE"""),44986.66666666667)</f>
        <v>44986.66667</v>
      </c>
      <c r="B107" s="3">
        <f>IFERROR(__xludf.DUMMYFUNCTION("""COMPUTED_VALUE"""),206.21)</f>
        <v>206.21</v>
      </c>
      <c r="C107" s="3">
        <f>IFERROR(__xludf.DUMMYFUNCTION("""COMPUTED_VALUE"""),207.2)</f>
        <v>207.2</v>
      </c>
      <c r="D107" s="3">
        <f>IFERROR(__xludf.DUMMYFUNCTION("""COMPUTED_VALUE"""),198.52)</f>
        <v>198.52</v>
      </c>
      <c r="E107" s="3">
        <f>IFERROR(__xludf.DUMMYFUNCTION("""COMPUTED_VALUE"""),202.77)</f>
        <v>202.77</v>
      </c>
      <c r="F107" s="3">
        <f>IFERROR(__xludf.DUMMYFUNCTION("""COMPUTED_VALUE"""),1.5685279E8)</f>
        <v>156852790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>
        <f>IFERROR(__xludf.DUMMYFUNCTION("""COMPUTED_VALUE"""),44987.66666666667)</f>
        <v>44987.66667</v>
      </c>
      <c r="B108" s="3">
        <f>IFERROR(__xludf.DUMMYFUNCTION("""COMPUTED_VALUE"""),186.74)</f>
        <v>186.74</v>
      </c>
      <c r="C108" s="3">
        <f>IFERROR(__xludf.DUMMYFUNCTION("""COMPUTED_VALUE"""),193.75)</f>
        <v>193.75</v>
      </c>
      <c r="D108" s="3">
        <f>IFERROR(__xludf.DUMMYFUNCTION("""COMPUTED_VALUE"""),186.01)</f>
        <v>186.01</v>
      </c>
      <c r="E108" s="3">
        <f>IFERROR(__xludf.DUMMYFUNCTION("""COMPUTED_VALUE"""),190.9)</f>
        <v>190.9</v>
      </c>
      <c r="F108" s="3">
        <f>IFERROR(__xludf.DUMMYFUNCTION("""COMPUTED_VALUE"""),1.81979154E8)</f>
        <v>181979154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>
        <f>IFERROR(__xludf.DUMMYFUNCTION("""COMPUTED_VALUE"""),44988.66666666667)</f>
        <v>44988.66667</v>
      </c>
      <c r="B109" s="3">
        <f>IFERROR(__xludf.DUMMYFUNCTION("""COMPUTED_VALUE"""),194.8)</f>
        <v>194.8</v>
      </c>
      <c r="C109" s="3">
        <f>IFERROR(__xludf.DUMMYFUNCTION("""COMPUTED_VALUE"""),200.48)</f>
        <v>200.48</v>
      </c>
      <c r="D109" s="3">
        <f>IFERROR(__xludf.DUMMYFUNCTION("""COMPUTED_VALUE"""),192.88)</f>
        <v>192.88</v>
      </c>
      <c r="E109" s="3">
        <f>IFERROR(__xludf.DUMMYFUNCTION("""COMPUTED_VALUE"""),197.79)</f>
        <v>197.79</v>
      </c>
      <c r="F109" s="3">
        <f>IFERROR(__xludf.DUMMYFUNCTION("""COMPUTED_VALUE"""),1.54193277E8)</f>
        <v>154193277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>
        <f>IFERROR(__xludf.DUMMYFUNCTION("""COMPUTED_VALUE"""),44991.66666666667)</f>
        <v>44991.66667</v>
      </c>
      <c r="B110" s="3">
        <f>IFERROR(__xludf.DUMMYFUNCTION("""COMPUTED_VALUE"""),198.54)</f>
        <v>198.54</v>
      </c>
      <c r="C110" s="3">
        <f>IFERROR(__xludf.DUMMYFUNCTION("""COMPUTED_VALUE"""),198.6)</f>
        <v>198.6</v>
      </c>
      <c r="D110" s="3">
        <f>IFERROR(__xludf.DUMMYFUNCTION("""COMPUTED_VALUE"""),192.3)</f>
        <v>192.3</v>
      </c>
      <c r="E110" s="3">
        <f>IFERROR(__xludf.DUMMYFUNCTION("""COMPUTED_VALUE"""),193.81)</f>
        <v>193.81</v>
      </c>
      <c r="F110" s="3">
        <f>IFERROR(__xludf.DUMMYFUNCTION("""COMPUTED_VALUE"""),1.28100106E8)</f>
        <v>128100106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>
        <f>IFERROR(__xludf.DUMMYFUNCTION("""COMPUTED_VALUE"""),44992.66666666667)</f>
        <v>44992.66667</v>
      </c>
      <c r="B111" s="3">
        <f>IFERROR(__xludf.DUMMYFUNCTION("""COMPUTED_VALUE"""),191.38)</f>
        <v>191.38</v>
      </c>
      <c r="C111" s="3">
        <f>IFERROR(__xludf.DUMMYFUNCTION("""COMPUTED_VALUE"""),194.2)</f>
        <v>194.2</v>
      </c>
      <c r="D111" s="3">
        <f>IFERROR(__xludf.DUMMYFUNCTION("""COMPUTED_VALUE"""),186.1)</f>
        <v>186.1</v>
      </c>
      <c r="E111" s="3">
        <f>IFERROR(__xludf.DUMMYFUNCTION("""COMPUTED_VALUE"""),187.71)</f>
        <v>187.71</v>
      </c>
      <c r="F111" s="3">
        <f>IFERROR(__xludf.DUMMYFUNCTION("""COMPUTED_VALUE"""),1.4812579E8)</f>
        <v>148125790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>
        <f>IFERROR(__xludf.DUMMYFUNCTION("""COMPUTED_VALUE"""),44993.66666666667)</f>
        <v>44993.66667</v>
      </c>
      <c r="B112" s="3">
        <f>IFERROR(__xludf.DUMMYFUNCTION("""COMPUTED_VALUE"""),185.04)</f>
        <v>185.04</v>
      </c>
      <c r="C112" s="3">
        <f>IFERROR(__xludf.DUMMYFUNCTION("""COMPUTED_VALUE"""),186.5)</f>
        <v>186.5</v>
      </c>
      <c r="D112" s="3">
        <f>IFERROR(__xludf.DUMMYFUNCTION("""COMPUTED_VALUE"""),180.0)</f>
        <v>180</v>
      </c>
      <c r="E112" s="3">
        <f>IFERROR(__xludf.DUMMYFUNCTION("""COMPUTED_VALUE"""),182.0)</f>
        <v>182</v>
      </c>
      <c r="F112" s="3">
        <f>IFERROR(__xludf.DUMMYFUNCTION("""COMPUTED_VALUE"""),1.51897763E8)</f>
        <v>151897763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>
        <f>IFERROR(__xludf.DUMMYFUNCTION("""COMPUTED_VALUE"""),44994.66666666667)</f>
        <v>44994.66667</v>
      </c>
      <c r="B113" s="3">
        <f>IFERROR(__xludf.DUMMYFUNCTION("""COMPUTED_VALUE"""),180.25)</f>
        <v>180.25</v>
      </c>
      <c r="C113" s="3">
        <f>IFERROR(__xludf.DUMMYFUNCTION("""COMPUTED_VALUE"""),185.18)</f>
        <v>185.18</v>
      </c>
      <c r="D113" s="3">
        <f>IFERROR(__xludf.DUMMYFUNCTION("""COMPUTED_VALUE"""),172.51)</f>
        <v>172.51</v>
      </c>
      <c r="E113" s="3">
        <f>IFERROR(__xludf.DUMMYFUNCTION("""COMPUTED_VALUE"""),172.92)</f>
        <v>172.92</v>
      </c>
      <c r="F113" s="3">
        <f>IFERROR(__xludf.DUMMYFUNCTION("""COMPUTED_VALUE"""),1.70023794E8)</f>
        <v>170023794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>
        <f>IFERROR(__xludf.DUMMYFUNCTION("""COMPUTED_VALUE"""),44995.66666666667)</f>
        <v>44995.66667</v>
      </c>
      <c r="B114" s="3">
        <f>IFERROR(__xludf.DUMMYFUNCTION("""COMPUTED_VALUE"""),175.13)</f>
        <v>175.13</v>
      </c>
      <c r="C114" s="3">
        <f>IFERROR(__xludf.DUMMYFUNCTION("""COMPUTED_VALUE"""),178.29)</f>
        <v>178.29</v>
      </c>
      <c r="D114" s="3">
        <f>IFERROR(__xludf.DUMMYFUNCTION("""COMPUTED_VALUE"""),168.44)</f>
        <v>168.44</v>
      </c>
      <c r="E114" s="3">
        <f>IFERROR(__xludf.DUMMYFUNCTION("""COMPUTED_VALUE"""),173.44)</f>
        <v>173.44</v>
      </c>
      <c r="F114" s="3">
        <f>IFERROR(__xludf.DUMMYFUNCTION("""COMPUTED_VALUE"""),1.91488872E8)</f>
        <v>191488872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>
        <f>IFERROR(__xludf.DUMMYFUNCTION("""COMPUTED_VALUE"""),44998.66666666667)</f>
        <v>44998.66667</v>
      </c>
      <c r="B115" s="3">
        <f>IFERROR(__xludf.DUMMYFUNCTION("""COMPUTED_VALUE"""),167.46)</f>
        <v>167.46</v>
      </c>
      <c r="C115" s="3">
        <f>IFERROR(__xludf.DUMMYFUNCTION("""COMPUTED_VALUE"""),177.35)</f>
        <v>177.35</v>
      </c>
      <c r="D115" s="3">
        <f>IFERROR(__xludf.DUMMYFUNCTION("""COMPUTED_VALUE"""),163.91)</f>
        <v>163.91</v>
      </c>
      <c r="E115" s="3">
        <f>IFERROR(__xludf.DUMMYFUNCTION("""COMPUTED_VALUE"""),174.48)</f>
        <v>174.48</v>
      </c>
      <c r="F115" s="3">
        <f>IFERROR(__xludf.DUMMYFUNCTION("""COMPUTED_VALUE"""),1.67790256E8)</f>
        <v>167790256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>
        <f>IFERROR(__xludf.DUMMYFUNCTION("""COMPUTED_VALUE"""),44999.66666666667)</f>
        <v>44999.66667</v>
      </c>
      <c r="B116" s="3">
        <f>IFERROR(__xludf.DUMMYFUNCTION("""COMPUTED_VALUE"""),177.31)</f>
        <v>177.31</v>
      </c>
      <c r="C116" s="3">
        <f>IFERROR(__xludf.DUMMYFUNCTION("""COMPUTED_VALUE"""),183.8)</f>
        <v>183.8</v>
      </c>
      <c r="D116" s="3">
        <f>IFERROR(__xludf.DUMMYFUNCTION("""COMPUTED_VALUE"""),177.14)</f>
        <v>177.14</v>
      </c>
      <c r="E116" s="3">
        <f>IFERROR(__xludf.DUMMYFUNCTION("""COMPUTED_VALUE"""),183.26)</f>
        <v>183.26</v>
      </c>
      <c r="F116" s="3">
        <f>IFERROR(__xludf.DUMMYFUNCTION("""COMPUTED_VALUE"""),1.43717897E8)</f>
        <v>143717897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>
        <f>IFERROR(__xludf.DUMMYFUNCTION("""COMPUTED_VALUE"""),45000.66666666667)</f>
        <v>45000.66667</v>
      </c>
      <c r="B117" s="3">
        <f>IFERROR(__xludf.DUMMYFUNCTION("""COMPUTED_VALUE"""),180.8)</f>
        <v>180.8</v>
      </c>
      <c r="C117" s="3">
        <f>IFERROR(__xludf.DUMMYFUNCTION("""COMPUTED_VALUE"""),182.34)</f>
        <v>182.34</v>
      </c>
      <c r="D117" s="3">
        <f>IFERROR(__xludf.DUMMYFUNCTION("""COMPUTED_VALUE"""),176.03)</f>
        <v>176.03</v>
      </c>
      <c r="E117" s="3">
        <f>IFERROR(__xludf.DUMMYFUNCTION("""COMPUTED_VALUE"""),180.45)</f>
        <v>180.45</v>
      </c>
      <c r="F117" s="3">
        <f>IFERROR(__xludf.DUMMYFUNCTION("""COMPUTED_VALUE"""),1.45995583E8)</f>
        <v>145995583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>
        <f>IFERROR(__xludf.DUMMYFUNCTION("""COMPUTED_VALUE"""),45001.66666666667)</f>
        <v>45001.66667</v>
      </c>
      <c r="B118" s="3">
        <f>IFERROR(__xludf.DUMMYFUNCTION("""COMPUTED_VALUE"""),180.37)</f>
        <v>180.37</v>
      </c>
      <c r="C118" s="3">
        <f>IFERROR(__xludf.DUMMYFUNCTION("""COMPUTED_VALUE"""),185.81)</f>
        <v>185.81</v>
      </c>
      <c r="D118" s="3">
        <f>IFERROR(__xludf.DUMMYFUNCTION("""COMPUTED_VALUE"""),178.84)</f>
        <v>178.84</v>
      </c>
      <c r="E118" s="3">
        <f>IFERROR(__xludf.DUMMYFUNCTION("""COMPUTED_VALUE"""),184.13)</f>
        <v>184.13</v>
      </c>
      <c r="F118" s="3">
        <f>IFERROR(__xludf.DUMMYFUNCTION("""COMPUTED_VALUE"""),1.21374453E8)</f>
        <v>121374453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>
        <f>IFERROR(__xludf.DUMMYFUNCTION("""COMPUTED_VALUE"""),45002.66666666667)</f>
        <v>45002.66667</v>
      </c>
      <c r="B119" s="3">
        <f>IFERROR(__xludf.DUMMYFUNCTION("""COMPUTED_VALUE"""),184.52)</f>
        <v>184.52</v>
      </c>
      <c r="C119" s="3">
        <f>IFERROR(__xludf.DUMMYFUNCTION("""COMPUTED_VALUE"""),186.22)</f>
        <v>186.22</v>
      </c>
      <c r="D119" s="3">
        <f>IFERROR(__xludf.DUMMYFUNCTION("""COMPUTED_VALUE"""),177.33)</f>
        <v>177.33</v>
      </c>
      <c r="E119" s="3">
        <f>IFERROR(__xludf.DUMMYFUNCTION("""COMPUTED_VALUE"""),180.13)</f>
        <v>180.13</v>
      </c>
      <c r="F119" s="3">
        <f>IFERROR(__xludf.DUMMYFUNCTION("""COMPUTED_VALUE"""),1.3319714E8)</f>
        <v>133197140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>
        <f>IFERROR(__xludf.DUMMYFUNCTION("""COMPUTED_VALUE"""),45005.66666666667)</f>
        <v>45005.66667</v>
      </c>
      <c r="B120" s="3">
        <f>IFERROR(__xludf.DUMMYFUNCTION("""COMPUTED_VALUE"""),178.08)</f>
        <v>178.08</v>
      </c>
      <c r="C120" s="3">
        <f>IFERROR(__xludf.DUMMYFUNCTION("""COMPUTED_VALUE"""),186.44)</f>
        <v>186.44</v>
      </c>
      <c r="D120" s="3">
        <f>IFERROR(__xludf.DUMMYFUNCTION("""COMPUTED_VALUE"""),176.35)</f>
        <v>176.35</v>
      </c>
      <c r="E120" s="3">
        <f>IFERROR(__xludf.DUMMYFUNCTION("""COMPUTED_VALUE"""),183.25)</f>
        <v>183.25</v>
      </c>
      <c r="F120" s="3">
        <f>IFERROR(__xludf.DUMMYFUNCTION("""COMPUTED_VALUE"""),1.29684359E8)</f>
        <v>129684359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>
        <f>IFERROR(__xludf.DUMMYFUNCTION("""COMPUTED_VALUE"""),45006.66666666667)</f>
        <v>45006.66667</v>
      </c>
      <c r="B121" s="3">
        <f>IFERROR(__xludf.DUMMYFUNCTION("""COMPUTED_VALUE"""),188.28)</f>
        <v>188.28</v>
      </c>
      <c r="C121" s="3">
        <f>IFERROR(__xludf.DUMMYFUNCTION("""COMPUTED_VALUE"""),198.0)</f>
        <v>198</v>
      </c>
      <c r="D121" s="3">
        <f>IFERROR(__xludf.DUMMYFUNCTION("""COMPUTED_VALUE"""),188.04)</f>
        <v>188.04</v>
      </c>
      <c r="E121" s="3">
        <f>IFERROR(__xludf.DUMMYFUNCTION("""COMPUTED_VALUE"""),197.58)</f>
        <v>197.58</v>
      </c>
      <c r="F121" s="3">
        <f>IFERROR(__xludf.DUMMYFUNCTION("""COMPUTED_VALUE"""),1.53391444E8)</f>
        <v>153391444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>
        <f>IFERROR(__xludf.DUMMYFUNCTION("""COMPUTED_VALUE"""),45007.66666666667)</f>
        <v>45007.66667</v>
      </c>
      <c r="B122" s="3">
        <f>IFERROR(__xludf.DUMMYFUNCTION("""COMPUTED_VALUE"""),199.3)</f>
        <v>199.3</v>
      </c>
      <c r="C122" s="3">
        <f>IFERROR(__xludf.DUMMYFUNCTION("""COMPUTED_VALUE"""),200.66)</f>
        <v>200.66</v>
      </c>
      <c r="D122" s="3">
        <f>IFERROR(__xludf.DUMMYFUNCTION("""COMPUTED_VALUE"""),190.95)</f>
        <v>190.95</v>
      </c>
      <c r="E122" s="3">
        <f>IFERROR(__xludf.DUMMYFUNCTION("""COMPUTED_VALUE"""),191.15)</f>
        <v>191.15</v>
      </c>
      <c r="F122" s="3">
        <f>IFERROR(__xludf.DUMMYFUNCTION("""COMPUTED_VALUE"""),1.50376373E8)</f>
        <v>150376373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>
        <f>IFERROR(__xludf.DUMMYFUNCTION("""COMPUTED_VALUE"""),45008.66666666667)</f>
        <v>45008.66667</v>
      </c>
      <c r="B123" s="3">
        <f>IFERROR(__xludf.DUMMYFUNCTION("""COMPUTED_VALUE"""),195.26)</f>
        <v>195.26</v>
      </c>
      <c r="C123" s="3">
        <f>IFERROR(__xludf.DUMMYFUNCTION("""COMPUTED_VALUE"""),199.31)</f>
        <v>199.31</v>
      </c>
      <c r="D123" s="3">
        <f>IFERROR(__xludf.DUMMYFUNCTION("""COMPUTED_VALUE"""),188.65)</f>
        <v>188.65</v>
      </c>
      <c r="E123" s="3">
        <f>IFERROR(__xludf.DUMMYFUNCTION("""COMPUTED_VALUE"""),192.22)</f>
        <v>192.22</v>
      </c>
      <c r="F123" s="3">
        <f>IFERROR(__xludf.DUMMYFUNCTION("""COMPUTED_VALUE"""),1.44193876E8)</f>
        <v>144193876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>
        <f>IFERROR(__xludf.DUMMYFUNCTION("""COMPUTED_VALUE"""),45009.66666666667)</f>
        <v>45009.66667</v>
      </c>
      <c r="B124" s="3">
        <f>IFERROR(__xludf.DUMMYFUNCTION("""COMPUTED_VALUE"""),191.65)</f>
        <v>191.65</v>
      </c>
      <c r="C124" s="3">
        <f>IFERROR(__xludf.DUMMYFUNCTION("""COMPUTED_VALUE"""),192.36)</f>
        <v>192.36</v>
      </c>
      <c r="D124" s="3">
        <f>IFERROR(__xludf.DUMMYFUNCTION("""COMPUTED_VALUE"""),187.15)</f>
        <v>187.15</v>
      </c>
      <c r="E124" s="3">
        <f>IFERROR(__xludf.DUMMYFUNCTION("""COMPUTED_VALUE"""),190.41)</f>
        <v>190.41</v>
      </c>
      <c r="F124" s="3">
        <f>IFERROR(__xludf.DUMMYFUNCTION("""COMPUTED_VALUE"""),1.16531584E8)</f>
        <v>116531584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>
        <f>IFERROR(__xludf.DUMMYFUNCTION("""COMPUTED_VALUE"""),45012.66666666667)</f>
        <v>45012.66667</v>
      </c>
      <c r="B125" s="3">
        <f>IFERROR(__xludf.DUMMYFUNCTION("""COMPUTED_VALUE"""),194.42)</f>
        <v>194.42</v>
      </c>
      <c r="C125" s="3">
        <f>IFERROR(__xludf.DUMMYFUNCTION("""COMPUTED_VALUE"""),197.39)</f>
        <v>197.39</v>
      </c>
      <c r="D125" s="3">
        <f>IFERROR(__xludf.DUMMYFUNCTION("""COMPUTED_VALUE"""),189.94)</f>
        <v>189.94</v>
      </c>
      <c r="E125" s="3">
        <f>IFERROR(__xludf.DUMMYFUNCTION("""COMPUTED_VALUE"""),191.81)</f>
        <v>191.81</v>
      </c>
      <c r="F125" s="3">
        <f>IFERROR(__xludf.DUMMYFUNCTION("""COMPUTED_VALUE"""),1.20851587E8)</f>
        <v>120851587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>
        <f>IFERROR(__xludf.DUMMYFUNCTION("""COMPUTED_VALUE"""),45013.66666666667)</f>
        <v>45013.66667</v>
      </c>
      <c r="B126" s="3">
        <f>IFERROR(__xludf.DUMMYFUNCTION("""COMPUTED_VALUE"""),192.0)</f>
        <v>192</v>
      </c>
      <c r="C126" s="3">
        <f>IFERROR(__xludf.DUMMYFUNCTION("""COMPUTED_VALUE"""),192.35)</f>
        <v>192.35</v>
      </c>
      <c r="D126" s="3">
        <f>IFERROR(__xludf.DUMMYFUNCTION("""COMPUTED_VALUE"""),185.43)</f>
        <v>185.43</v>
      </c>
      <c r="E126" s="3">
        <f>IFERROR(__xludf.DUMMYFUNCTION("""COMPUTED_VALUE"""),189.19)</f>
        <v>189.19</v>
      </c>
      <c r="F126" s="3">
        <f>IFERROR(__xludf.DUMMYFUNCTION("""COMPUTED_VALUE"""),9.8654635E7)</f>
        <v>98654635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>
        <f>IFERROR(__xludf.DUMMYFUNCTION("""COMPUTED_VALUE"""),45014.66666666667)</f>
        <v>45014.66667</v>
      </c>
      <c r="B127" s="3">
        <f>IFERROR(__xludf.DUMMYFUNCTION("""COMPUTED_VALUE"""),193.13)</f>
        <v>193.13</v>
      </c>
      <c r="C127" s="3">
        <f>IFERROR(__xludf.DUMMYFUNCTION("""COMPUTED_VALUE"""),195.29)</f>
        <v>195.29</v>
      </c>
      <c r="D127" s="3">
        <f>IFERROR(__xludf.DUMMYFUNCTION("""COMPUTED_VALUE"""),189.44)</f>
        <v>189.44</v>
      </c>
      <c r="E127" s="3">
        <f>IFERROR(__xludf.DUMMYFUNCTION("""COMPUTED_VALUE"""),193.88)</f>
        <v>193.88</v>
      </c>
      <c r="F127" s="3">
        <f>IFERROR(__xludf.DUMMYFUNCTION("""COMPUTED_VALUE"""),1.23660026E8)</f>
        <v>123660026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>
        <f>IFERROR(__xludf.DUMMYFUNCTION("""COMPUTED_VALUE"""),45015.66666666667)</f>
        <v>45015.66667</v>
      </c>
      <c r="B128" s="3">
        <f>IFERROR(__xludf.DUMMYFUNCTION("""COMPUTED_VALUE"""),195.58)</f>
        <v>195.58</v>
      </c>
      <c r="C128" s="3">
        <f>IFERROR(__xludf.DUMMYFUNCTION("""COMPUTED_VALUE"""),197.33)</f>
        <v>197.33</v>
      </c>
      <c r="D128" s="3">
        <f>IFERROR(__xludf.DUMMYFUNCTION("""COMPUTED_VALUE"""),194.42)</f>
        <v>194.42</v>
      </c>
      <c r="E128" s="3">
        <f>IFERROR(__xludf.DUMMYFUNCTION("""COMPUTED_VALUE"""),195.28)</f>
        <v>195.28</v>
      </c>
      <c r="F128" s="3">
        <f>IFERROR(__xludf.DUMMYFUNCTION("""COMPUTED_VALUE"""),1.10252238E8)</f>
        <v>110252238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>
        <f>IFERROR(__xludf.DUMMYFUNCTION("""COMPUTED_VALUE"""),45016.66666666667)</f>
        <v>45016.66667</v>
      </c>
      <c r="B129" s="3">
        <f>IFERROR(__xludf.DUMMYFUNCTION("""COMPUTED_VALUE"""),197.53)</f>
        <v>197.53</v>
      </c>
      <c r="C129" s="3">
        <f>IFERROR(__xludf.DUMMYFUNCTION("""COMPUTED_VALUE"""),207.79)</f>
        <v>207.79</v>
      </c>
      <c r="D129" s="3">
        <f>IFERROR(__xludf.DUMMYFUNCTION("""COMPUTED_VALUE"""),197.2)</f>
        <v>197.2</v>
      </c>
      <c r="E129" s="3">
        <f>IFERROR(__xludf.DUMMYFUNCTION("""COMPUTED_VALUE"""),207.46)</f>
        <v>207.46</v>
      </c>
      <c r="F129" s="3">
        <f>IFERROR(__xludf.DUMMYFUNCTION("""COMPUTED_VALUE"""),1.70222118E8)</f>
        <v>170222118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>
        <f>IFERROR(__xludf.DUMMYFUNCTION("""COMPUTED_VALUE"""),45019.66666666667)</f>
        <v>45019.66667</v>
      </c>
      <c r="B130" s="3">
        <f>IFERROR(__xludf.DUMMYFUNCTION("""COMPUTED_VALUE"""),199.91)</f>
        <v>199.91</v>
      </c>
      <c r="C130" s="3">
        <f>IFERROR(__xludf.DUMMYFUNCTION("""COMPUTED_VALUE"""),202.69)</f>
        <v>202.69</v>
      </c>
      <c r="D130" s="3">
        <f>IFERROR(__xludf.DUMMYFUNCTION("""COMPUTED_VALUE"""),192.2)</f>
        <v>192.2</v>
      </c>
      <c r="E130" s="3">
        <f>IFERROR(__xludf.DUMMYFUNCTION("""COMPUTED_VALUE"""),194.77)</f>
        <v>194.77</v>
      </c>
      <c r="F130" s="3">
        <f>IFERROR(__xludf.DUMMYFUNCTION("""COMPUTED_VALUE"""),1.695459E8)</f>
        <v>169545900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>
        <f>IFERROR(__xludf.DUMMYFUNCTION("""COMPUTED_VALUE"""),45020.66666666667)</f>
        <v>45020.66667</v>
      </c>
      <c r="B131" s="3">
        <f>IFERROR(__xludf.DUMMYFUNCTION("""COMPUTED_VALUE"""),197.32)</f>
        <v>197.32</v>
      </c>
      <c r="C131" s="3">
        <f>IFERROR(__xludf.DUMMYFUNCTION("""COMPUTED_VALUE"""),198.74)</f>
        <v>198.74</v>
      </c>
      <c r="D131" s="3">
        <f>IFERROR(__xludf.DUMMYFUNCTION("""COMPUTED_VALUE"""),190.32)</f>
        <v>190.32</v>
      </c>
      <c r="E131" s="3">
        <f>IFERROR(__xludf.DUMMYFUNCTION("""COMPUTED_VALUE"""),192.58)</f>
        <v>192.58</v>
      </c>
      <c r="F131" s="3">
        <f>IFERROR(__xludf.DUMMYFUNCTION("""COMPUTED_VALUE"""),1.26463845E8)</f>
        <v>126463845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>
        <f>IFERROR(__xludf.DUMMYFUNCTION("""COMPUTED_VALUE"""),45021.66666666667)</f>
        <v>45021.66667</v>
      </c>
      <c r="B132" s="3">
        <f>IFERROR(__xludf.DUMMYFUNCTION("""COMPUTED_VALUE"""),190.52)</f>
        <v>190.52</v>
      </c>
      <c r="C132" s="3">
        <f>IFERROR(__xludf.DUMMYFUNCTION("""COMPUTED_VALUE"""),190.68)</f>
        <v>190.68</v>
      </c>
      <c r="D132" s="3">
        <f>IFERROR(__xludf.DUMMYFUNCTION("""COMPUTED_VALUE"""),183.76)</f>
        <v>183.76</v>
      </c>
      <c r="E132" s="3">
        <f>IFERROR(__xludf.DUMMYFUNCTION("""COMPUTED_VALUE"""),185.52)</f>
        <v>185.52</v>
      </c>
      <c r="F132" s="3">
        <f>IFERROR(__xludf.DUMMYFUNCTION("""COMPUTED_VALUE"""),1.33882493E8)</f>
        <v>133882493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>
        <f>IFERROR(__xludf.DUMMYFUNCTION("""COMPUTED_VALUE"""),45022.66666666667)</f>
        <v>45022.66667</v>
      </c>
      <c r="B133" s="3">
        <f>IFERROR(__xludf.DUMMYFUNCTION("""COMPUTED_VALUE"""),183.08)</f>
        <v>183.08</v>
      </c>
      <c r="C133" s="3">
        <f>IFERROR(__xludf.DUMMYFUNCTION("""COMPUTED_VALUE"""),186.39)</f>
        <v>186.39</v>
      </c>
      <c r="D133" s="3">
        <f>IFERROR(__xludf.DUMMYFUNCTION("""COMPUTED_VALUE"""),179.74)</f>
        <v>179.74</v>
      </c>
      <c r="E133" s="3">
        <f>IFERROR(__xludf.DUMMYFUNCTION("""COMPUTED_VALUE"""),185.06)</f>
        <v>185.06</v>
      </c>
      <c r="F133" s="3">
        <f>IFERROR(__xludf.DUMMYFUNCTION("""COMPUTED_VALUE"""),1.23857932E8)</f>
        <v>123857932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>
        <f>IFERROR(__xludf.DUMMYFUNCTION("""COMPUTED_VALUE"""),45026.66666666667)</f>
        <v>45026.66667</v>
      </c>
      <c r="B134" s="3">
        <f>IFERROR(__xludf.DUMMYFUNCTION("""COMPUTED_VALUE"""),179.94)</f>
        <v>179.94</v>
      </c>
      <c r="C134" s="3">
        <f>IFERROR(__xludf.DUMMYFUNCTION("""COMPUTED_VALUE"""),185.1)</f>
        <v>185.1</v>
      </c>
      <c r="D134" s="3">
        <f>IFERROR(__xludf.DUMMYFUNCTION("""COMPUTED_VALUE"""),176.11)</f>
        <v>176.11</v>
      </c>
      <c r="E134" s="3">
        <f>IFERROR(__xludf.DUMMYFUNCTION("""COMPUTED_VALUE"""),184.51)</f>
        <v>184.51</v>
      </c>
      <c r="F134" s="3">
        <f>IFERROR(__xludf.DUMMYFUNCTION("""COMPUTED_VALUE"""),1.42154637E8)</f>
        <v>142154637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>
        <f>IFERROR(__xludf.DUMMYFUNCTION("""COMPUTED_VALUE"""),45027.66666666667)</f>
        <v>45027.66667</v>
      </c>
      <c r="B135" s="3">
        <f>IFERROR(__xludf.DUMMYFUNCTION("""COMPUTED_VALUE"""),186.69)</f>
        <v>186.69</v>
      </c>
      <c r="C135" s="3">
        <f>IFERROR(__xludf.DUMMYFUNCTION("""COMPUTED_VALUE"""),189.19)</f>
        <v>189.19</v>
      </c>
      <c r="D135" s="3">
        <f>IFERROR(__xludf.DUMMYFUNCTION("""COMPUTED_VALUE"""),185.65)</f>
        <v>185.65</v>
      </c>
      <c r="E135" s="3">
        <f>IFERROR(__xludf.DUMMYFUNCTION("""COMPUTED_VALUE"""),186.79)</f>
        <v>186.79</v>
      </c>
      <c r="F135" s="3">
        <f>IFERROR(__xludf.DUMMYFUNCTION("""COMPUTED_VALUE"""),1.15770892E8)</f>
        <v>115770892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>
        <f>IFERROR(__xludf.DUMMYFUNCTION("""COMPUTED_VALUE"""),45028.66666666667)</f>
        <v>45028.66667</v>
      </c>
      <c r="B136" s="3">
        <f>IFERROR(__xludf.DUMMYFUNCTION("""COMPUTED_VALUE"""),190.74)</f>
        <v>190.74</v>
      </c>
      <c r="C136" s="3">
        <f>IFERROR(__xludf.DUMMYFUNCTION("""COMPUTED_VALUE"""),191.58)</f>
        <v>191.58</v>
      </c>
      <c r="D136" s="3">
        <f>IFERROR(__xludf.DUMMYFUNCTION("""COMPUTED_VALUE"""),180.31)</f>
        <v>180.31</v>
      </c>
      <c r="E136" s="3">
        <f>IFERROR(__xludf.DUMMYFUNCTION("""COMPUTED_VALUE"""),180.54)</f>
        <v>180.54</v>
      </c>
      <c r="F136" s="3">
        <f>IFERROR(__xludf.DUMMYFUNCTION("""COMPUTED_VALUE"""),1.50256278E8)</f>
        <v>150256278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>
        <f>IFERROR(__xludf.DUMMYFUNCTION("""COMPUTED_VALUE"""),45029.66666666667)</f>
        <v>45029.66667</v>
      </c>
      <c r="B137" s="3">
        <f>IFERROR(__xludf.DUMMYFUNCTION("""COMPUTED_VALUE"""),182.96)</f>
        <v>182.96</v>
      </c>
      <c r="C137" s="3">
        <f>IFERROR(__xludf.DUMMYFUNCTION("""COMPUTED_VALUE"""),186.5)</f>
        <v>186.5</v>
      </c>
      <c r="D137" s="3">
        <f>IFERROR(__xludf.DUMMYFUNCTION("""COMPUTED_VALUE"""),180.94)</f>
        <v>180.94</v>
      </c>
      <c r="E137" s="3">
        <f>IFERROR(__xludf.DUMMYFUNCTION("""COMPUTED_VALUE"""),185.9)</f>
        <v>185.9</v>
      </c>
      <c r="F137" s="3">
        <f>IFERROR(__xludf.DUMMYFUNCTION("""COMPUTED_VALUE"""),1.12932985E8)</f>
        <v>112932985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>
        <f>IFERROR(__xludf.DUMMYFUNCTION("""COMPUTED_VALUE"""),45030.66666666667)</f>
        <v>45030.66667</v>
      </c>
      <c r="B138" s="3">
        <f>IFERROR(__xludf.DUMMYFUNCTION("""COMPUTED_VALUE"""),183.95)</f>
        <v>183.95</v>
      </c>
      <c r="C138" s="3">
        <f>IFERROR(__xludf.DUMMYFUNCTION("""COMPUTED_VALUE"""),186.28)</f>
        <v>186.28</v>
      </c>
      <c r="D138" s="3">
        <f>IFERROR(__xludf.DUMMYFUNCTION("""COMPUTED_VALUE"""),182.01)</f>
        <v>182.01</v>
      </c>
      <c r="E138" s="3">
        <f>IFERROR(__xludf.DUMMYFUNCTION("""COMPUTED_VALUE"""),185.0)</f>
        <v>185</v>
      </c>
      <c r="F138" s="3">
        <f>IFERROR(__xludf.DUMMYFUNCTION("""COMPUTED_VALUE"""),9.6438664E7)</f>
        <v>96438664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>
        <f>IFERROR(__xludf.DUMMYFUNCTION("""COMPUTED_VALUE"""),45033.66666666667)</f>
        <v>45033.66667</v>
      </c>
      <c r="B139" s="3">
        <f>IFERROR(__xludf.DUMMYFUNCTION("""COMPUTED_VALUE"""),186.32)</f>
        <v>186.32</v>
      </c>
      <c r="C139" s="3">
        <f>IFERROR(__xludf.DUMMYFUNCTION("""COMPUTED_VALUE"""),189.69)</f>
        <v>189.69</v>
      </c>
      <c r="D139" s="3">
        <f>IFERROR(__xludf.DUMMYFUNCTION("""COMPUTED_VALUE"""),182.69)</f>
        <v>182.69</v>
      </c>
      <c r="E139" s="3">
        <f>IFERROR(__xludf.DUMMYFUNCTION("""COMPUTED_VALUE"""),187.04)</f>
        <v>187.04</v>
      </c>
      <c r="F139" s="3">
        <f>IFERROR(__xludf.DUMMYFUNCTION("""COMPUTED_VALUE"""),1.16662189E8)</f>
        <v>116662189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>
        <f>IFERROR(__xludf.DUMMYFUNCTION("""COMPUTED_VALUE"""),45034.66666666667)</f>
        <v>45034.66667</v>
      </c>
      <c r="B140" s="3">
        <f>IFERROR(__xludf.DUMMYFUNCTION("""COMPUTED_VALUE"""),187.15)</f>
        <v>187.15</v>
      </c>
      <c r="C140" s="3">
        <f>IFERROR(__xludf.DUMMYFUNCTION("""COMPUTED_VALUE"""),187.69)</f>
        <v>187.69</v>
      </c>
      <c r="D140" s="3">
        <f>IFERROR(__xludf.DUMMYFUNCTION("""COMPUTED_VALUE"""),183.58)</f>
        <v>183.58</v>
      </c>
      <c r="E140" s="3">
        <f>IFERROR(__xludf.DUMMYFUNCTION("""COMPUTED_VALUE"""),184.31)</f>
        <v>184.31</v>
      </c>
      <c r="F140" s="3">
        <f>IFERROR(__xludf.DUMMYFUNCTION("""COMPUTED_VALUE"""),9.2067016E7)</f>
        <v>92067016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>
        <f>IFERROR(__xludf.DUMMYFUNCTION("""COMPUTED_VALUE"""),45035.66666666667)</f>
        <v>45035.66667</v>
      </c>
      <c r="B141" s="3">
        <f>IFERROR(__xludf.DUMMYFUNCTION("""COMPUTED_VALUE"""),179.1)</f>
        <v>179.1</v>
      </c>
      <c r="C141" s="3">
        <f>IFERROR(__xludf.DUMMYFUNCTION("""COMPUTED_VALUE"""),183.5)</f>
        <v>183.5</v>
      </c>
      <c r="D141" s="3">
        <f>IFERROR(__xludf.DUMMYFUNCTION("""COMPUTED_VALUE"""),177.65)</f>
        <v>177.65</v>
      </c>
      <c r="E141" s="3">
        <f>IFERROR(__xludf.DUMMYFUNCTION("""COMPUTED_VALUE"""),180.59)</f>
        <v>180.59</v>
      </c>
      <c r="F141" s="3">
        <f>IFERROR(__xludf.DUMMYFUNCTION("""COMPUTED_VALUE"""),1.25732687E8)</f>
        <v>125732687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>
        <f>IFERROR(__xludf.DUMMYFUNCTION("""COMPUTED_VALUE"""),45036.66666666667)</f>
        <v>45036.66667</v>
      </c>
      <c r="B142" s="3">
        <f>IFERROR(__xludf.DUMMYFUNCTION("""COMPUTED_VALUE"""),166.17)</f>
        <v>166.17</v>
      </c>
      <c r="C142" s="3">
        <f>IFERROR(__xludf.DUMMYFUNCTION("""COMPUTED_VALUE"""),169.7)</f>
        <v>169.7</v>
      </c>
      <c r="D142" s="3">
        <f>IFERROR(__xludf.DUMMYFUNCTION("""COMPUTED_VALUE"""),160.56)</f>
        <v>160.56</v>
      </c>
      <c r="E142" s="3">
        <f>IFERROR(__xludf.DUMMYFUNCTION("""COMPUTED_VALUE"""),162.99)</f>
        <v>162.99</v>
      </c>
      <c r="F142" s="3">
        <f>IFERROR(__xludf.DUMMYFUNCTION("""COMPUTED_VALUE"""),2.10970819E8)</f>
        <v>210970819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>
        <f>IFERROR(__xludf.DUMMYFUNCTION("""COMPUTED_VALUE"""),45037.66666666667)</f>
        <v>45037.66667</v>
      </c>
      <c r="B143" s="3">
        <f>IFERROR(__xludf.DUMMYFUNCTION("""COMPUTED_VALUE"""),164.8)</f>
        <v>164.8</v>
      </c>
      <c r="C143" s="3">
        <f>IFERROR(__xludf.DUMMYFUNCTION("""COMPUTED_VALUE"""),166.0)</f>
        <v>166</v>
      </c>
      <c r="D143" s="3">
        <f>IFERROR(__xludf.DUMMYFUNCTION("""COMPUTED_VALUE"""),161.32)</f>
        <v>161.32</v>
      </c>
      <c r="E143" s="3">
        <f>IFERROR(__xludf.DUMMYFUNCTION("""COMPUTED_VALUE"""),165.08)</f>
        <v>165.08</v>
      </c>
      <c r="F143" s="3">
        <f>IFERROR(__xludf.DUMMYFUNCTION("""COMPUTED_VALUE"""),1.23538954E8)</f>
        <v>123538954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>
        <f>IFERROR(__xludf.DUMMYFUNCTION("""COMPUTED_VALUE"""),45040.66666666667)</f>
        <v>45040.66667</v>
      </c>
      <c r="B144" s="3">
        <f>IFERROR(__xludf.DUMMYFUNCTION("""COMPUTED_VALUE"""),164.65)</f>
        <v>164.65</v>
      </c>
      <c r="C144" s="3">
        <f>IFERROR(__xludf.DUMMYFUNCTION("""COMPUTED_VALUE"""),165.65)</f>
        <v>165.65</v>
      </c>
      <c r="D144" s="3">
        <f>IFERROR(__xludf.DUMMYFUNCTION("""COMPUTED_VALUE"""),158.61)</f>
        <v>158.61</v>
      </c>
      <c r="E144" s="3">
        <f>IFERROR(__xludf.DUMMYFUNCTION("""COMPUTED_VALUE"""),162.55)</f>
        <v>162.55</v>
      </c>
      <c r="F144" s="3">
        <f>IFERROR(__xludf.DUMMYFUNCTION("""COMPUTED_VALUE"""),1.40006559E8)</f>
        <v>140006559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>
        <f>IFERROR(__xludf.DUMMYFUNCTION("""COMPUTED_VALUE"""),45041.66666666667)</f>
        <v>45041.66667</v>
      </c>
      <c r="B145" s="3">
        <f>IFERROR(__xludf.DUMMYFUNCTION("""COMPUTED_VALUE"""),159.82)</f>
        <v>159.82</v>
      </c>
      <c r="C145" s="3">
        <f>IFERROR(__xludf.DUMMYFUNCTION("""COMPUTED_VALUE"""),163.47)</f>
        <v>163.47</v>
      </c>
      <c r="D145" s="3">
        <f>IFERROR(__xludf.DUMMYFUNCTION("""COMPUTED_VALUE"""),158.75)</f>
        <v>158.75</v>
      </c>
      <c r="E145" s="3">
        <f>IFERROR(__xludf.DUMMYFUNCTION("""COMPUTED_VALUE"""),160.67)</f>
        <v>160.67</v>
      </c>
      <c r="F145" s="3">
        <f>IFERROR(__xludf.DUMMYFUNCTION("""COMPUTED_VALUE"""),1.21999312E8)</f>
        <v>121999312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>
        <f>IFERROR(__xludf.DUMMYFUNCTION("""COMPUTED_VALUE"""),45042.66666666667)</f>
        <v>45042.66667</v>
      </c>
      <c r="B146" s="3">
        <f>IFERROR(__xludf.DUMMYFUNCTION("""COMPUTED_VALUE"""),160.29)</f>
        <v>160.29</v>
      </c>
      <c r="C146" s="3">
        <f>IFERROR(__xludf.DUMMYFUNCTION("""COMPUTED_VALUE"""),160.67)</f>
        <v>160.67</v>
      </c>
      <c r="D146" s="3">
        <f>IFERROR(__xludf.DUMMYFUNCTION("""COMPUTED_VALUE"""),153.14)</f>
        <v>153.14</v>
      </c>
      <c r="E146" s="3">
        <f>IFERROR(__xludf.DUMMYFUNCTION("""COMPUTED_VALUE"""),153.75)</f>
        <v>153.75</v>
      </c>
      <c r="F146" s="3">
        <f>IFERROR(__xludf.DUMMYFUNCTION("""COMPUTED_VALUE"""),1.53364142E8)</f>
        <v>153364142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>
        <f>IFERROR(__xludf.DUMMYFUNCTION("""COMPUTED_VALUE"""),45043.66666666667)</f>
        <v>45043.66667</v>
      </c>
      <c r="B147" s="3">
        <f>IFERROR(__xludf.DUMMYFUNCTION("""COMPUTED_VALUE"""),152.64)</f>
        <v>152.64</v>
      </c>
      <c r="C147" s="3">
        <f>IFERROR(__xludf.DUMMYFUNCTION("""COMPUTED_VALUE"""),160.48)</f>
        <v>160.48</v>
      </c>
      <c r="D147" s="3">
        <f>IFERROR(__xludf.DUMMYFUNCTION("""COMPUTED_VALUE"""),152.37)</f>
        <v>152.37</v>
      </c>
      <c r="E147" s="3">
        <f>IFERROR(__xludf.DUMMYFUNCTION("""COMPUTED_VALUE"""),160.19)</f>
        <v>160.19</v>
      </c>
      <c r="F147" s="3">
        <f>IFERROR(__xludf.DUMMYFUNCTION("""COMPUTED_VALUE"""),1.27015177E8)</f>
        <v>127015177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>
        <f>IFERROR(__xludf.DUMMYFUNCTION("""COMPUTED_VALUE"""),45044.66666666667)</f>
        <v>45044.66667</v>
      </c>
      <c r="B148" s="3">
        <f>IFERROR(__xludf.DUMMYFUNCTION("""COMPUTED_VALUE"""),160.9)</f>
        <v>160.9</v>
      </c>
      <c r="C148" s="3">
        <f>IFERROR(__xludf.DUMMYFUNCTION("""COMPUTED_VALUE"""),165.0)</f>
        <v>165</v>
      </c>
      <c r="D148" s="3">
        <f>IFERROR(__xludf.DUMMYFUNCTION("""COMPUTED_VALUE"""),157.32)</f>
        <v>157.32</v>
      </c>
      <c r="E148" s="3">
        <f>IFERROR(__xludf.DUMMYFUNCTION("""COMPUTED_VALUE"""),164.31)</f>
        <v>164.31</v>
      </c>
      <c r="F148" s="3">
        <f>IFERROR(__xludf.DUMMYFUNCTION("""COMPUTED_VALUE"""),1.22515812E8)</f>
        <v>122515812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>
        <f>IFERROR(__xludf.DUMMYFUNCTION("""COMPUTED_VALUE"""),45047.66666666667)</f>
        <v>45047.66667</v>
      </c>
      <c r="B149" s="3">
        <f>IFERROR(__xludf.DUMMYFUNCTION("""COMPUTED_VALUE"""),163.17)</f>
        <v>163.17</v>
      </c>
      <c r="C149" s="3">
        <f>IFERROR(__xludf.DUMMYFUNCTION("""COMPUTED_VALUE"""),163.28)</f>
        <v>163.28</v>
      </c>
      <c r="D149" s="3">
        <f>IFERROR(__xludf.DUMMYFUNCTION("""COMPUTED_VALUE"""),158.83)</f>
        <v>158.83</v>
      </c>
      <c r="E149" s="3">
        <f>IFERROR(__xludf.DUMMYFUNCTION("""COMPUTED_VALUE"""),161.83)</f>
        <v>161.83</v>
      </c>
      <c r="F149" s="3">
        <f>IFERROR(__xludf.DUMMYFUNCTION("""COMPUTED_VALUE"""),1.09015048E8)</f>
        <v>109015048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>
        <f>IFERROR(__xludf.DUMMYFUNCTION("""COMPUTED_VALUE"""),45048.66666666667)</f>
        <v>45048.66667</v>
      </c>
      <c r="B150" s="3">
        <f>IFERROR(__xludf.DUMMYFUNCTION("""COMPUTED_VALUE"""),161.88)</f>
        <v>161.88</v>
      </c>
      <c r="C150" s="3">
        <f>IFERROR(__xludf.DUMMYFUNCTION("""COMPUTED_VALUE"""),165.49)</f>
        <v>165.49</v>
      </c>
      <c r="D150" s="3">
        <f>IFERROR(__xludf.DUMMYFUNCTION("""COMPUTED_VALUE"""),158.93)</f>
        <v>158.93</v>
      </c>
      <c r="E150" s="3">
        <f>IFERROR(__xludf.DUMMYFUNCTION("""COMPUTED_VALUE"""),160.31)</f>
        <v>160.31</v>
      </c>
      <c r="F150" s="3">
        <f>IFERROR(__xludf.DUMMYFUNCTION("""COMPUTED_VALUE"""),1.28259744E8)</f>
        <v>128259744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>
        <f>IFERROR(__xludf.DUMMYFUNCTION("""COMPUTED_VALUE"""),45049.66666666667)</f>
        <v>45049.66667</v>
      </c>
      <c r="B151" s="3">
        <f>IFERROR(__xludf.DUMMYFUNCTION("""COMPUTED_VALUE"""),160.01)</f>
        <v>160.01</v>
      </c>
      <c r="C151" s="3">
        <f>IFERROR(__xludf.DUMMYFUNCTION("""COMPUTED_VALUE"""),165.0)</f>
        <v>165</v>
      </c>
      <c r="D151" s="3">
        <f>IFERROR(__xludf.DUMMYFUNCTION("""COMPUTED_VALUE"""),159.91)</f>
        <v>159.91</v>
      </c>
      <c r="E151" s="3">
        <f>IFERROR(__xludf.DUMMYFUNCTION("""COMPUTED_VALUE"""),160.61)</f>
        <v>160.61</v>
      </c>
      <c r="F151" s="3">
        <f>IFERROR(__xludf.DUMMYFUNCTION("""COMPUTED_VALUE"""),1.19727972E8)</f>
        <v>119727972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>
        <f>IFERROR(__xludf.DUMMYFUNCTION("""COMPUTED_VALUE"""),45050.66666666667)</f>
        <v>45050.66667</v>
      </c>
      <c r="B152" s="3">
        <f>IFERROR(__xludf.DUMMYFUNCTION("""COMPUTED_VALUE"""),162.71)</f>
        <v>162.71</v>
      </c>
      <c r="C152" s="3">
        <f>IFERROR(__xludf.DUMMYFUNCTION("""COMPUTED_VALUE"""),162.95)</f>
        <v>162.95</v>
      </c>
      <c r="D152" s="3">
        <f>IFERROR(__xludf.DUMMYFUNCTION("""COMPUTED_VALUE"""),159.65)</f>
        <v>159.65</v>
      </c>
      <c r="E152" s="3">
        <f>IFERROR(__xludf.DUMMYFUNCTION("""COMPUTED_VALUE"""),161.2)</f>
        <v>161.2</v>
      </c>
      <c r="F152" s="3">
        <f>IFERROR(__xludf.DUMMYFUNCTION("""COMPUTED_VALUE"""),9.5108492E7)</f>
        <v>95108492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>
        <f>IFERROR(__xludf.DUMMYFUNCTION("""COMPUTED_VALUE"""),45051.66666666667)</f>
        <v>45051.66667</v>
      </c>
      <c r="B153" s="3">
        <f>IFERROR(__xludf.DUMMYFUNCTION("""COMPUTED_VALUE"""),163.97)</f>
        <v>163.97</v>
      </c>
      <c r="C153" s="3">
        <f>IFERROR(__xludf.DUMMYFUNCTION("""COMPUTED_VALUE"""),170.79)</f>
        <v>170.79</v>
      </c>
      <c r="D153" s="3">
        <f>IFERROR(__xludf.DUMMYFUNCTION("""COMPUTED_VALUE"""),163.51)</f>
        <v>163.51</v>
      </c>
      <c r="E153" s="3">
        <f>IFERROR(__xludf.DUMMYFUNCTION("""COMPUTED_VALUE"""),170.06)</f>
        <v>170.06</v>
      </c>
      <c r="F153" s="3">
        <f>IFERROR(__xludf.DUMMYFUNCTION("""COMPUTED_VALUE"""),1.07607259E8)</f>
        <v>107607259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>
        <f>IFERROR(__xludf.DUMMYFUNCTION("""COMPUTED_VALUE"""),45054.66666666667)</f>
        <v>45054.66667</v>
      </c>
      <c r="B154" s="3">
        <f>IFERROR(__xludf.DUMMYFUNCTION("""COMPUTED_VALUE"""),173.72)</f>
        <v>173.72</v>
      </c>
      <c r="C154" s="3">
        <f>IFERROR(__xludf.DUMMYFUNCTION("""COMPUTED_VALUE"""),173.8)</f>
        <v>173.8</v>
      </c>
      <c r="D154" s="3">
        <f>IFERROR(__xludf.DUMMYFUNCTION("""COMPUTED_VALUE"""),169.19)</f>
        <v>169.19</v>
      </c>
      <c r="E154" s="3">
        <f>IFERROR(__xludf.DUMMYFUNCTION("""COMPUTED_VALUE"""),171.79)</f>
        <v>171.79</v>
      </c>
      <c r="F154" s="3">
        <f>IFERROR(__xludf.DUMMYFUNCTION("""COMPUTED_VALUE"""),1.12249449E8)</f>
        <v>112249449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>
        <f>IFERROR(__xludf.DUMMYFUNCTION("""COMPUTED_VALUE"""),45055.66666666667)</f>
        <v>45055.66667</v>
      </c>
      <c r="B155" s="3">
        <f>IFERROR(__xludf.DUMMYFUNCTION("""COMPUTED_VALUE"""),168.95)</f>
        <v>168.95</v>
      </c>
      <c r="C155" s="3">
        <f>IFERROR(__xludf.DUMMYFUNCTION("""COMPUTED_VALUE"""),169.82)</f>
        <v>169.82</v>
      </c>
      <c r="D155" s="3">
        <f>IFERROR(__xludf.DUMMYFUNCTION("""COMPUTED_VALUE"""),166.56)</f>
        <v>166.56</v>
      </c>
      <c r="E155" s="3">
        <f>IFERROR(__xludf.DUMMYFUNCTION("""COMPUTED_VALUE"""),169.15)</f>
        <v>169.15</v>
      </c>
      <c r="F155" s="3">
        <f>IFERROR(__xludf.DUMMYFUNCTION("""COMPUTED_VALUE"""),8.8965043E7)</f>
        <v>88965043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>
        <f>IFERROR(__xludf.DUMMYFUNCTION("""COMPUTED_VALUE"""),45056.66666666667)</f>
        <v>45056.66667</v>
      </c>
      <c r="B156" s="3">
        <f>IFERROR(__xludf.DUMMYFUNCTION("""COMPUTED_VALUE"""),172.55)</f>
        <v>172.55</v>
      </c>
      <c r="C156" s="3">
        <f>IFERROR(__xludf.DUMMYFUNCTION("""COMPUTED_VALUE"""),174.43)</f>
        <v>174.43</v>
      </c>
      <c r="D156" s="3">
        <f>IFERROR(__xludf.DUMMYFUNCTION("""COMPUTED_VALUE"""),166.68)</f>
        <v>166.68</v>
      </c>
      <c r="E156" s="3">
        <f>IFERROR(__xludf.DUMMYFUNCTION("""COMPUTED_VALUE"""),168.54)</f>
        <v>168.54</v>
      </c>
      <c r="F156" s="3">
        <f>IFERROR(__xludf.DUMMYFUNCTION("""COMPUTED_VALUE"""),1.19840693E8)</f>
        <v>119840693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>
        <f>IFERROR(__xludf.DUMMYFUNCTION("""COMPUTED_VALUE"""),45057.66666666667)</f>
        <v>45057.66667</v>
      </c>
      <c r="B157" s="3">
        <f>IFERROR(__xludf.DUMMYFUNCTION("""COMPUTED_VALUE"""),168.7)</f>
        <v>168.7</v>
      </c>
      <c r="C157" s="3">
        <f>IFERROR(__xludf.DUMMYFUNCTION("""COMPUTED_VALUE"""),173.57)</f>
        <v>173.57</v>
      </c>
      <c r="D157" s="3">
        <f>IFERROR(__xludf.DUMMYFUNCTION("""COMPUTED_VALUE"""),166.79)</f>
        <v>166.79</v>
      </c>
      <c r="E157" s="3">
        <f>IFERROR(__xludf.DUMMYFUNCTION("""COMPUTED_VALUE"""),172.08)</f>
        <v>172.08</v>
      </c>
      <c r="F157" s="3">
        <f>IFERROR(__xludf.DUMMYFUNCTION("""COMPUTED_VALUE"""),1.0388993E8)</f>
        <v>103889930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>
        <f>IFERROR(__xludf.DUMMYFUNCTION("""COMPUTED_VALUE"""),45058.66666666667)</f>
        <v>45058.66667</v>
      </c>
      <c r="B158" s="3">
        <f>IFERROR(__xludf.DUMMYFUNCTION("""COMPUTED_VALUE"""),176.07)</f>
        <v>176.07</v>
      </c>
      <c r="C158" s="3">
        <f>IFERROR(__xludf.DUMMYFUNCTION("""COMPUTED_VALUE"""),177.38)</f>
        <v>177.38</v>
      </c>
      <c r="D158" s="3">
        <f>IFERROR(__xludf.DUMMYFUNCTION("""COMPUTED_VALUE"""),167.23)</f>
        <v>167.23</v>
      </c>
      <c r="E158" s="3">
        <f>IFERROR(__xludf.DUMMYFUNCTION("""COMPUTED_VALUE"""),167.98)</f>
        <v>167.98</v>
      </c>
      <c r="F158" s="3">
        <f>IFERROR(__xludf.DUMMYFUNCTION("""COMPUTED_VALUE"""),1.57849625E8)</f>
        <v>157849625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>
        <f>IFERROR(__xludf.DUMMYFUNCTION("""COMPUTED_VALUE"""),45061.66666666667)</f>
        <v>45061.66667</v>
      </c>
      <c r="B159" s="3">
        <f>IFERROR(__xludf.DUMMYFUNCTION("""COMPUTED_VALUE"""),167.66)</f>
        <v>167.66</v>
      </c>
      <c r="C159" s="3">
        <f>IFERROR(__xludf.DUMMYFUNCTION("""COMPUTED_VALUE"""),169.76)</f>
        <v>169.76</v>
      </c>
      <c r="D159" s="3">
        <f>IFERROR(__xludf.DUMMYFUNCTION("""COMPUTED_VALUE"""),164.55)</f>
        <v>164.55</v>
      </c>
      <c r="E159" s="3">
        <f>IFERROR(__xludf.DUMMYFUNCTION("""COMPUTED_VALUE"""),166.35)</f>
        <v>166.35</v>
      </c>
      <c r="F159" s="3">
        <f>IFERROR(__xludf.DUMMYFUNCTION("""COMPUTED_VALUE"""),1.0559251E8)</f>
        <v>105592510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>
        <f>IFERROR(__xludf.DUMMYFUNCTION("""COMPUTED_VALUE"""),45062.66666666667)</f>
        <v>45062.66667</v>
      </c>
      <c r="B160" s="3">
        <f>IFERROR(__xludf.DUMMYFUNCTION("""COMPUTED_VALUE"""),165.65)</f>
        <v>165.65</v>
      </c>
      <c r="C160" s="3">
        <f>IFERROR(__xludf.DUMMYFUNCTION("""COMPUTED_VALUE"""),169.52)</f>
        <v>169.52</v>
      </c>
      <c r="D160" s="3">
        <f>IFERROR(__xludf.DUMMYFUNCTION("""COMPUTED_VALUE"""),164.35)</f>
        <v>164.35</v>
      </c>
      <c r="E160" s="3">
        <f>IFERROR(__xludf.DUMMYFUNCTION("""COMPUTED_VALUE"""),166.52)</f>
        <v>166.52</v>
      </c>
      <c r="F160" s="3">
        <f>IFERROR(__xludf.DUMMYFUNCTION("""COMPUTED_VALUE"""),9.8288792E7)</f>
        <v>98288792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>
        <f>IFERROR(__xludf.DUMMYFUNCTION("""COMPUTED_VALUE"""),45063.66666666667)</f>
        <v>45063.66667</v>
      </c>
      <c r="B161" s="3">
        <f>IFERROR(__xludf.DUMMYFUNCTION("""COMPUTED_VALUE"""),168.41)</f>
        <v>168.41</v>
      </c>
      <c r="C161" s="3">
        <f>IFERROR(__xludf.DUMMYFUNCTION("""COMPUTED_VALUE"""),174.5)</f>
        <v>174.5</v>
      </c>
      <c r="D161" s="3">
        <f>IFERROR(__xludf.DUMMYFUNCTION("""COMPUTED_VALUE"""),167.19)</f>
        <v>167.19</v>
      </c>
      <c r="E161" s="3">
        <f>IFERROR(__xludf.DUMMYFUNCTION("""COMPUTED_VALUE"""),173.86)</f>
        <v>173.86</v>
      </c>
      <c r="F161" s="3">
        <f>IFERROR(__xludf.DUMMYFUNCTION("""COMPUTED_VALUE"""),1.25473558E8)</f>
        <v>125473558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>
        <f>IFERROR(__xludf.DUMMYFUNCTION("""COMPUTED_VALUE"""),45064.66666666667)</f>
        <v>45064.66667</v>
      </c>
      <c r="B162" s="3">
        <f>IFERROR(__xludf.DUMMYFUNCTION("""COMPUTED_VALUE"""),174.22)</f>
        <v>174.22</v>
      </c>
      <c r="C162" s="3">
        <f>IFERROR(__xludf.DUMMYFUNCTION("""COMPUTED_VALUE"""),177.06)</f>
        <v>177.06</v>
      </c>
      <c r="D162" s="3">
        <f>IFERROR(__xludf.DUMMYFUNCTION("""COMPUTED_VALUE"""),172.45)</f>
        <v>172.45</v>
      </c>
      <c r="E162" s="3">
        <f>IFERROR(__xludf.DUMMYFUNCTION("""COMPUTED_VALUE"""),176.89)</f>
        <v>176.89</v>
      </c>
      <c r="F162" s="3">
        <f>IFERROR(__xludf.DUMMYFUNCTION("""COMPUTED_VALUE"""),1.09520332E8)</f>
        <v>109520332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>
        <f>IFERROR(__xludf.DUMMYFUNCTION("""COMPUTED_VALUE"""),45065.66666666667)</f>
        <v>45065.66667</v>
      </c>
      <c r="B163" s="3">
        <f>IFERROR(__xludf.DUMMYFUNCTION("""COMPUTED_VALUE"""),177.17)</f>
        <v>177.17</v>
      </c>
      <c r="C163" s="3">
        <f>IFERROR(__xludf.DUMMYFUNCTION("""COMPUTED_VALUE"""),181.95)</f>
        <v>181.95</v>
      </c>
      <c r="D163" s="3">
        <f>IFERROR(__xludf.DUMMYFUNCTION("""COMPUTED_VALUE"""),176.31)</f>
        <v>176.31</v>
      </c>
      <c r="E163" s="3">
        <f>IFERROR(__xludf.DUMMYFUNCTION("""COMPUTED_VALUE"""),180.14)</f>
        <v>180.14</v>
      </c>
      <c r="F163" s="3">
        <f>IFERROR(__xludf.DUMMYFUNCTION("""COMPUTED_VALUE"""),1.36196668E8)</f>
        <v>136196668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>
        <f>IFERROR(__xludf.DUMMYFUNCTION("""COMPUTED_VALUE"""),45068.66666666667)</f>
        <v>45068.66667</v>
      </c>
      <c r="B164" s="3">
        <f>IFERROR(__xludf.DUMMYFUNCTION("""COMPUTED_VALUE"""),180.7)</f>
        <v>180.7</v>
      </c>
      <c r="C164" s="3">
        <f>IFERROR(__xludf.DUMMYFUNCTION("""COMPUTED_VALUE"""),189.32)</f>
        <v>189.32</v>
      </c>
      <c r="D164" s="3">
        <f>IFERROR(__xludf.DUMMYFUNCTION("""COMPUTED_VALUE"""),180.11)</f>
        <v>180.11</v>
      </c>
      <c r="E164" s="3">
        <f>IFERROR(__xludf.DUMMYFUNCTION("""COMPUTED_VALUE"""),188.87)</f>
        <v>188.87</v>
      </c>
      <c r="F164" s="3">
        <f>IFERROR(__xludf.DUMMYFUNCTION("""COMPUTED_VALUE"""),1.3200143E8)</f>
        <v>132001430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>
        <f>IFERROR(__xludf.DUMMYFUNCTION("""COMPUTED_VALUE"""),45069.66666666667)</f>
        <v>45069.66667</v>
      </c>
      <c r="B165" s="3">
        <f>IFERROR(__xludf.DUMMYFUNCTION("""COMPUTED_VALUE"""),186.2)</f>
        <v>186.2</v>
      </c>
      <c r="C165" s="3">
        <f>IFERROR(__xludf.DUMMYFUNCTION("""COMPUTED_VALUE"""),192.96)</f>
        <v>192.96</v>
      </c>
      <c r="D165" s="3">
        <f>IFERROR(__xludf.DUMMYFUNCTION("""COMPUTED_VALUE"""),185.26)</f>
        <v>185.26</v>
      </c>
      <c r="E165" s="3">
        <f>IFERROR(__xludf.DUMMYFUNCTION("""COMPUTED_VALUE"""),185.77)</f>
        <v>185.77</v>
      </c>
      <c r="F165" s="3">
        <f>IFERROR(__xludf.DUMMYFUNCTION("""COMPUTED_VALUE"""),1.5695213E8)</f>
        <v>156952130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>
        <f>IFERROR(__xludf.DUMMYFUNCTION("""COMPUTED_VALUE"""),45070.66666666667)</f>
        <v>45070.66667</v>
      </c>
      <c r="B166" s="3">
        <f>IFERROR(__xludf.DUMMYFUNCTION("""COMPUTED_VALUE"""),182.23)</f>
        <v>182.23</v>
      </c>
      <c r="C166" s="3">
        <f>IFERROR(__xludf.DUMMYFUNCTION("""COMPUTED_VALUE"""),184.22)</f>
        <v>184.22</v>
      </c>
      <c r="D166" s="3">
        <f>IFERROR(__xludf.DUMMYFUNCTION("""COMPUTED_VALUE"""),178.22)</f>
        <v>178.22</v>
      </c>
      <c r="E166" s="3">
        <f>IFERROR(__xludf.DUMMYFUNCTION("""COMPUTED_VALUE"""),182.9)</f>
        <v>182.9</v>
      </c>
      <c r="F166" s="3">
        <f>IFERROR(__xludf.DUMMYFUNCTION("""COMPUTED_VALUE"""),1.37605054E8)</f>
        <v>137605054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>
        <f>IFERROR(__xludf.DUMMYFUNCTION("""COMPUTED_VALUE"""),45071.66666666667)</f>
        <v>45071.66667</v>
      </c>
      <c r="B167" s="3">
        <f>IFERROR(__xludf.DUMMYFUNCTION("""COMPUTED_VALUE"""),186.54)</f>
        <v>186.54</v>
      </c>
      <c r="C167" s="3">
        <f>IFERROR(__xludf.DUMMYFUNCTION("""COMPUTED_VALUE"""),186.78)</f>
        <v>186.78</v>
      </c>
      <c r="D167" s="3">
        <f>IFERROR(__xludf.DUMMYFUNCTION("""COMPUTED_VALUE"""),180.58)</f>
        <v>180.58</v>
      </c>
      <c r="E167" s="3">
        <f>IFERROR(__xludf.DUMMYFUNCTION("""COMPUTED_VALUE"""),184.47)</f>
        <v>184.47</v>
      </c>
      <c r="F167" s="3">
        <f>IFERROR(__xludf.DUMMYFUNCTION("""COMPUTED_VALUE"""),9.6870719E7)</f>
        <v>96870719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>
        <f>IFERROR(__xludf.DUMMYFUNCTION("""COMPUTED_VALUE"""),45072.66666666667)</f>
        <v>45072.66667</v>
      </c>
      <c r="B168" s="3">
        <f>IFERROR(__xludf.DUMMYFUNCTION("""COMPUTED_VALUE"""),184.62)</f>
        <v>184.62</v>
      </c>
      <c r="C168" s="3">
        <f>IFERROR(__xludf.DUMMYFUNCTION("""COMPUTED_VALUE"""),198.6)</f>
        <v>198.6</v>
      </c>
      <c r="D168" s="3">
        <f>IFERROR(__xludf.DUMMYFUNCTION("""COMPUTED_VALUE"""),184.53)</f>
        <v>184.53</v>
      </c>
      <c r="E168" s="3">
        <f>IFERROR(__xludf.DUMMYFUNCTION("""COMPUTED_VALUE"""),193.17)</f>
        <v>193.17</v>
      </c>
      <c r="F168" s="3">
        <f>IFERROR(__xludf.DUMMYFUNCTION("""COMPUTED_VALUE"""),1.62061496E8)</f>
        <v>162061496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>
        <f>IFERROR(__xludf.DUMMYFUNCTION("""COMPUTED_VALUE"""),45076.66666666667)</f>
        <v>45076.66667</v>
      </c>
      <c r="B169" s="3">
        <f>IFERROR(__xludf.DUMMYFUNCTION("""COMPUTED_VALUE"""),200.1)</f>
        <v>200.1</v>
      </c>
      <c r="C169" s="3">
        <f>IFERROR(__xludf.DUMMYFUNCTION("""COMPUTED_VALUE"""),204.48)</f>
        <v>204.48</v>
      </c>
      <c r="D169" s="3">
        <f>IFERROR(__xludf.DUMMYFUNCTION("""COMPUTED_VALUE"""),197.53)</f>
        <v>197.53</v>
      </c>
      <c r="E169" s="3">
        <f>IFERROR(__xludf.DUMMYFUNCTION("""COMPUTED_VALUE"""),201.16)</f>
        <v>201.16</v>
      </c>
      <c r="F169" s="3">
        <f>IFERROR(__xludf.DUMMYFUNCTION("""COMPUTED_VALUE"""),1.28818746E8)</f>
        <v>128818746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>
        <f>IFERROR(__xludf.DUMMYFUNCTION("""COMPUTED_VALUE"""),45077.66666666667)</f>
        <v>45077.66667</v>
      </c>
      <c r="B170" s="3">
        <f>IFERROR(__xludf.DUMMYFUNCTION("""COMPUTED_VALUE"""),199.78)</f>
        <v>199.78</v>
      </c>
      <c r="C170" s="3">
        <f>IFERROR(__xludf.DUMMYFUNCTION("""COMPUTED_VALUE"""),203.95)</f>
        <v>203.95</v>
      </c>
      <c r="D170" s="3">
        <f>IFERROR(__xludf.DUMMYFUNCTION("""COMPUTED_VALUE"""),195.12)</f>
        <v>195.12</v>
      </c>
      <c r="E170" s="3">
        <f>IFERROR(__xludf.DUMMYFUNCTION("""COMPUTED_VALUE"""),203.93)</f>
        <v>203.93</v>
      </c>
      <c r="F170" s="3">
        <f>IFERROR(__xludf.DUMMYFUNCTION("""COMPUTED_VALUE"""),1.50711736E8)</f>
        <v>150711736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>
        <f>IFERROR(__xludf.DUMMYFUNCTION("""COMPUTED_VALUE"""),45078.66666666667)</f>
        <v>45078.66667</v>
      </c>
      <c r="B171" s="3">
        <f>IFERROR(__xludf.DUMMYFUNCTION("""COMPUTED_VALUE"""),202.59)</f>
        <v>202.59</v>
      </c>
      <c r="C171" s="3">
        <f>IFERROR(__xludf.DUMMYFUNCTION("""COMPUTED_VALUE"""),209.8)</f>
        <v>209.8</v>
      </c>
      <c r="D171" s="3">
        <f>IFERROR(__xludf.DUMMYFUNCTION("""COMPUTED_VALUE"""),199.37)</f>
        <v>199.37</v>
      </c>
      <c r="E171" s="3">
        <f>IFERROR(__xludf.DUMMYFUNCTION("""COMPUTED_VALUE"""),207.52)</f>
        <v>207.52</v>
      </c>
      <c r="F171" s="3">
        <f>IFERROR(__xludf.DUMMYFUNCTION("""COMPUTED_VALUE"""),1.48029931E8)</f>
        <v>148029931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>
        <f>IFERROR(__xludf.DUMMYFUNCTION("""COMPUTED_VALUE"""),45079.66666666667)</f>
        <v>45079.66667</v>
      </c>
      <c r="B172" s="3">
        <f>IFERROR(__xludf.DUMMYFUNCTION("""COMPUTED_VALUE"""),210.15)</f>
        <v>210.15</v>
      </c>
      <c r="C172" s="3">
        <f>IFERROR(__xludf.DUMMYFUNCTION("""COMPUTED_VALUE"""),217.25)</f>
        <v>217.25</v>
      </c>
      <c r="D172" s="3">
        <f>IFERROR(__xludf.DUMMYFUNCTION("""COMPUTED_VALUE"""),209.75)</f>
        <v>209.75</v>
      </c>
      <c r="E172" s="3">
        <f>IFERROR(__xludf.DUMMYFUNCTION("""COMPUTED_VALUE"""),213.97)</f>
        <v>213.97</v>
      </c>
      <c r="F172" s="3">
        <f>IFERROR(__xludf.DUMMYFUNCTION("""COMPUTED_VALUE"""),1.64398372E8)</f>
        <v>164398372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>
        <f>IFERROR(__xludf.DUMMYFUNCTION("""COMPUTED_VALUE"""),45082.66666666667)</f>
        <v>45082.66667</v>
      </c>
      <c r="B173" s="3">
        <f>IFERROR(__xludf.DUMMYFUNCTION("""COMPUTED_VALUE"""),217.8)</f>
        <v>217.8</v>
      </c>
      <c r="C173" s="3">
        <f>IFERROR(__xludf.DUMMYFUNCTION("""COMPUTED_VALUE"""),221.29)</f>
        <v>221.29</v>
      </c>
      <c r="D173" s="3">
        <f>IFERROR(__xludf.DUMMYFUNCTION("""COMPUTED_VALUE"""),214.52)</f>
        <v>214.52</v>
      </c>
      <c r="E173" s="3">
        <f>IFERROR(__xludf.DUMMYFUNCTION("""COMPUTED_VALUE"""),217.61)</f>
        <v>217.61</v>
      </c>
      <c r="F173" s="3">
        <f>IFERROR(__xludf.DUMMYFUNCTION("""COMPUTED_VALUE"""),1.51143052E8)</f>
        <v>151143052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>
        <f>IFERROR(__xludf.DUMMYFUNCTION("""COMPUTED_VALUE"""),45083.66666666667)</f>
        <v>45083.66667</v>
      </c>
      <c r="B174" s="3">
        <f>IFERROR(__xludf.DUMMYFUNCTION("""COMPUTED_VALUE"""),216.14)</f>
        <v>216.14</v>
      </c>
      <c r="C174" s="3">
        <f>IFERROR(__xludf.DUMMYFUNCTION("""COMPUTED_VALUE"""),221.91)</f>
        <v>221.91</v>
      </c>
      <c r="D174" s="3">
        <f>IFERROR(__xludf.DUMMYFUNCTION("""COMPUTED_VALUE"""),212.53)</f>
        <v>212.53</v>
      </c>
      <c r="E174" s="3">
        <f>IFERROR(__xludf.DUMMYFUNCTION("""COMPUTED_VALUE"""),221.31)</f>
        <v>221.31</v>
      </c>
      <c r="F174" s="3">
        <f>IFERROR(__xludf.DUMMYFUNCTION("""COMPUTED_VALUE"""),1.46911576E8)</f>
        <v>146911576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>
        <f>IFERROR(__xludf.DUMMYFUNCTION("""COMPUTED_VALUE"""),45084.66666666667)</f>
        <v>45084.66667</v>
      </c>
      <c r="B175" s="3">
        <f>IFERROR(__xludf.DUMMYFUNCTION("""COMPUTED_VALUE"""),228.0)</f>
        <v>228</v>
      </c>
      <c r="C175" s="3">
        <f>IFERROR(__xludf.DUMMYFUNCTION("""COMPUTED_VALUE"""),230.83)</f>
        <v>230.83</v>
      </c>
      <c r="D175" s="3">
        <f>IFERROR(__xludf.DUMMYFUNCTION("""COMPUTED_VALUE"""),223.2)</f>
        <v>223.2</v>
      </c>
      <c r="E175" s="3">
        <f>IFERROR(__xludf.DUMMYFUNCTION("""COMPUTED_VALUE"""),224.57)</f>
        <v>224.57</v>
      </c>
      <c r="F175" s="3">
        <f>IFERROR(__xludf.DUMMYFUNCTION("""COMPUTED_VALUE"""),1.85710777E8)</f>
        <v>185710777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>
        <f>IFERROR(__xludf.DUMMYFUNCTION("""COMPUTED_VALUE"""),45085.66666666667)</f>
        <v>45085.66667</v>
      </c>
      <c r="B176" s="3">
        <f>IFERROR(__xludf.DUMMYFUNCTION("""COMPUTED_VALUE"""),224.22)</f>
        <v>224.22</v>
      </c>
      <c r="C176" s="3">
        <f>IFERROR(__xludf.DUMMYFUNCTION("""COMPUTED_VALUE"""),235.23)</f>
        <v>235.23</v>
      </c>
      <c r="D176" s="3">
        <f>IFERROR(__xludf.DUMMYFUNCTION("""COMPUTED_VALUE"""),223.01)</f>
        <v>223.01</v>
      </c>
      <c r="E176" s="3">
        <f>IFERROR(__xludf.DUMMYFUNCTION("""COMPUTED_VALUE"""),234.86)</f>
        <v>234.86</v>
      </c>
      <c r="F176" s="3">
        <f>IFERROR(__xludf.DUMMYFUNCTION("""COMPUTED_VALUE"""),1.64489739E8)</f>
        <v>164489739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>
        <f>IFERROR(__xludf.DUMMYFUNCTION("""COMPUTED_VALUE"""),45086.66666666667)</f>
        <v>45086.66667</v>
      </c>
      <c r="B177" s="3">
        <f>IFERROR(__xludf.DUMMYFUNCTION("""COMPUTED_VALUE"""),249.07)</f>
        <v>249.07</v>
      </c>
      <c r="C177" s="3">
        <f>IFERROR(__xludf.DUMMYFUNCTION("""COMPUTED_VALUE"""),252.42)</f>
        <v>252.42</v>
      </c>
      <c r="D177" s="3">
        <f>IFERROR(__xludf.DUMMYFUNCTION("""COMPUTED_VALUE"""),242.02)</f>
        <v>242.02</v>
      </c>
      <c r="E177" s="3">
        <f>IFERROR(__xludf.DUMMYFUNCTION("""COMPUTED_VALUE"""),244.4)</f>
        <v>244.4</v>
      </c>
      <c r="F177" s="3">
        <f>IFERROR(__xludf.DUMMYFUNCTION("""COMPUTED_VALUE"""),2.00242371E8)</f>
        <v>200242371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>
        <f>IFERROR(__xludf.DUMMYFUNCTION("""COMPUTED_VALUE"""),45089.66666666667)</f>
        <v>45089.66667</v>
      </c>
      <c r="B178" s="3">
        <f>IFERROR(__xludf.DUMMYFUNCTION("""COMPUTED_VALUE"""),247.94)</f>
        <v>247.94</v>
      </c>
      <c r="C178" s="3">
        <f>IFERROR(__xludf.DUMMYFUNCTION("""COMPUTED_VALUE"""),250.97)</f>
        <v>250.97</v>
      </c>
      <c r="D178" s="3">
        <f>IFERROR(__xludf.DUMMYFUNCTION("""COMPUTED_VALUE"""),244.59)</f>
        <v>244.59</v>
      </c>
      <c r="E178" s="3">
        <f>IFERROR(__xludf.DUMMYFUNCTION("""COMPUTED_VALUE"""),249.83)</f>
        <v>249.83</v>
      </c>
      <c r="F178" s="3">
        <f>IFERROR(__xludf.DUMMYFUNCTION("""COMPUTED_VALUE"""),1.50740523E8)</f>
        <v>150740523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>
        <f>IFERROR(__xludf.DUMMYFUNCTION("""COMPUTED_VALUE"""),45090.66666666667)</f>
        <v>45090.66667</v>
      </c>
      <c r="B179" s="3">
        <f>IFERROR(__xludf.DUMMYFUNCTION("""COMPUTED_VALUE"""),253.51)</f>
        <v>253.51</v>
      </c>
      <c r="C179" s="3">
        <f>IFERROR(__xludf.DUMMYFUNCTION("""COMPUTED_VALUE"""),259.68)</f>
        <v>259.68</v>
      </c>
      <c r="D179" s="3">
        <f>IFERROR(__xludf.DUMMYFUNCTION("""COMPUTED_VALUE"""),251.34)</f>
        <v>251.34</v>
      </c>
      <c r="E179" s="3">
        <f>IFERROR(__xludf.DUMMYFUNCTION("""COMPUTED_VALUE"""),258.71)</f>
        <v>258.71</v>
      </c>
      <c r="F179" s="3">
        <f>IFERROR(__xludf.DUMMYFUNCTION("""COMPUTED_VALUE"""),1.62384343E8)</f>
        <v>162384343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>
        <f>IFERROR(__xludf.DUMMYFUNCTION("""COMPUTED_VALUE"""),45091.66666666667)</f>
        <v>45091.66667</v>
      </c>
      <c r="B180" s="3">
        <f>IFERROR(__xludf.DUMMYFUNCTION("""COMPUTED_VALUE"""),260.17)</f>
        <v>260.17</v>
      </c>
      <c r="C180" s="3">
        <f>IFERROR(__xludf.DUMMYFUNCTION("""COMPUTED_VALUE"""),261.57)</f>
        <v>261.57</v>
      </c>
      <c r="D180" s="3">
        <f>IFERROR(__xludf.DUMMYFUNCTION("""COMPUTED_VALUE"""),250.5)</f>
        <v>250.5</v>
      </c>
      <c r="E180" s="3">
        <f>IFERROR(__xludf.DUMMYFUNCTION("""COMPUTED_VALUE"""),256.79)</f>
        <v>256.79</v>
      </c>
      <c r="F180" s="3">
        <f>IFERROR(__xludf.DUMMYFUNCTION("""COMPUTED_VALUE"""),1.70575536E8)</f>
        <v>170575536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>
        <f>IFERROR(__xludf.DUMMYFUNCTION("""COMPUTED_VALUE"""),45092.66666666667)</f>
        <v>45092.66667</v>
      </c>
      <c r="B181" s="3">
        <f>IFERROR(__xludf.DUMMYFUNCTION("""COMPUTED_VALUE"""),248.4)</f>
        <v>248.4</v>
      </c>
      <c r="C181" s="3">
        <f>IFERROR(__xludf.DUMMYFUNCTION("""COMPUTED_VALUE"""),258.95)</f>
        <v>258.95</v>
      </c>
      <c r="D181" s="3">
        <f>IFERROR(__xludf.DUMMYFUNCTION("""COMPUTED_VALUE"""),247.29)</f>
        <v>247.29</v>
      </c>
      <c r="E181" s="3">
        <f>IFERROR(__xludf.DUMMYFUNCTION("""COMPUTED_VALUE"""),255.9)</f>
        <v>255.9</v>
      </c>
      <c r="F181" s="3">
        <f>IFERROR(__xludf.DUMMYFUNCTION("""COMPUTED_VALUE"""),1.60171238E8)</f>
        <v>160171238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>
        <f>IFERROR(__xludf.DUMMYFUNCTION("""COMPUTED_VALUE"""),45093.66666666667)</f>
        <v>45093.66667</v>
      </c>
      <c r="B182" s="3">
        <f>IFERROR(__xludf.DUMMYFUNCTION("""COMPUTED_VALUE"""),258.92)</f>
        <v>258.92</v>
      </c>
      <c r="C182" s="3">
        <f>IFERROR(__xludf.DUMMYFUNCTION("""COMPUTED_VALUE"""),263.6)</f>
        <v>263.6</v>
      </c>
      <c r="D182" s="3">
        <f>IFERROR(__xludf.DUMMYFUNCTION("""COMPUTED_VALUE"""),257.21)</f>
        <v>257.21</v>
      </c>
      <c r="E182" s="3">
        <f>IFERROR(__xludf.DUMMYFUNCTION("""COMPUTED_VALUE"""),260.54)</f>
        <v>260.54</v>
      </c>
      <c r="F182" s="3">
        <f>IFERROR(__xludf.DUMMYFUNCTION("""COMPUTED_VALUE"""),1.67915649E8)</f>
        <v>167915649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>
        <f>IFERROR(__xludf.DUMMYFUNCTION("""COMPUTED_VALUE"""),45097.66666666667)</f>
        <v>45097.66667</v>
      </c>
      <c r="B183" s="3">
        <f>IFERROR(__xludf.DUMMYFUNCTION("""COMPUTED_VALUE"""),261.5)</f>
        <v>261.5</v>
      </c>
      <c r="C183" s="3">
        <f>IFERROR(__xludf.DUMMYFUNCTION("""COMPUTED_VALUE"""),274.75)</f>
        <v>274.75</v>
      </c>
      <c r="D183" s="3">
        <f>IFERROR(__xludf.DUMMYFUNCTION("""COMPUTED_VALUE"""),261.12)</f>
        <v>261.12</v>
      </c>
      <c r="E183" s="3">
        <f>IFERROR(__xludf.DUMMYFUNCTION("""COMPUTED_VALUE"""),274.45)</f>
        <v>274.45</v>
      </c>
      <c r="F183" s="3">
        <f>IFERROR(__xludf.DUMMYFUNCTION("""COMPUTED_VALUE"""),1.65611217E8)</f>
        <v>165611217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>
        <f>IFERROR(__xludf.DUMMYFUNCTION("""COMPUTED_VALUE"""),45098.66666666667)</f>
        <v>45098.66667</v>
      </c>
      <c r="B184" s="3">
        <f>IFERROR(__xludf.DUMMYFUNCTION("""COMPUTED_VALUE"""),275.13)</f>
        <v>275.13</v>
      </c>
      <c r="C184" s="3">
        <f>IFERROR(__xludf.DUMMYFUNCTION("""COMPUTED_VALUE"""),276.99)</f>
        <v>276.99</v>
      </c>
      <c r="D184" s="3">
        <f>IFERROR(__xludf.DUMMYFUNCTION("""COMPUTED_VALUE"""),257.78)</f>
        <v>257.78</v>
      </c>
      <c r="E184" s="3">
        <f>IFERROR(__xludf.DUMMYFUNCTION("""COMPUTED_VALUE"""),259.46)</f>
        <v>259.46</v>
      </c>
      <c r="F184" s="3">
        <f>IFERROR(__xludf.DUMMYFUNCTION("""COMPUTED_VALUE"""),2.11797109E8)</f>
        <v>211797109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>
        <f>IFERROR(__xludf.DUMMYFUNCTION("""COMPUTED_VALUE"""),45099.66666666667)</f>
        <v>45099.66667</v>
      </c>
      <c r="B185" s="3">
        <f>IFERROR(__xludf.DUMMYFUNCTION("""COMPUTED_VALUE"""),250.77)</f>
        <v>250.77</v>
      </c>
      <c r="C185" s="3">
        <f>IFERROR(__xludf.DUMMYFUNCTION("""COMPUTED_VALUE"""),265.0)</f>
        <v>265</v>
      </c>
      <c r="D185" s="3">
        <f>IFERROR(__xludf.DUMMYFUNCTION("""COMPUTED_VALUE"""),248.25)</f>
        <v>248.25</v>
      </c>
      <c r="E185" s="3">
        <f>IFERROR(__xludf.DUMMYFUNCTION("""COMPUTED_VALUE"""),264.61)</f>
        <v>264.61</v>
      </c>
      <c r="F185" s="3">
        <f>IFERROR(__xludf.DUMMYFUNCTION("""COMPUTED_VALUE"""),1.66875944E8)</f>
        <v>166875944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>
        <f>IFERROR(__xludf.DUMMYFUNCTION("""COMPUTED_VALUE"""),45100.66666666667)</f>
        <v>45100.66667</v>
      </c>
      <c r="B186" s="3">
        <f>IFERROR(__xludf.DUMMYFUNCTION("""COMPUTED_VALUE"""),259.29)</f>
        <v>259.29</v>
      </c>
      <c r="C186" s="3">
        <f>IFERROR(__xludf.DUMMYFUNCTION("""COMPUTED_VALUE"""),262.45)</f>
        <v>262.45</v>
      </c>
      <c r="D186" s="3">
        <f>IFERROR(__xludf.DUMMYFUNCTION("""COMPUTED_VALUE"""),252.8)</f>
        <v>252.8</v>
      </c>
      <c r="E186" s="3">
        <f>IFERROR(__xludf.DUMMYFUNCTION("""COMPUTED_VALUE"""),256.6)</f>
        <v>256.6</v>
      </c>
      <c r="F186" s="3">
        <f>IFERROR(__xludf.DUMMYFUNCTION("""COMPUTED_VALUE"""),1.77460803E8)</f>
        <v>177460803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>
        <f>IFERROR(__xludf.DUMMYFUNCTION("""COMPUTED_VALUE"""),45103.66666666667)</f>
        <v>45103.66667</v>
      </c>
      <c r="B187" s="3">
        <f>IFERROR(__xludf.DUMMYFUNCTION("""COMPUTED_VALUE"""),250.07)</f>
        <v>250.07</v>
      </c>
      <c r="C187" s="3">
        <f>IFERROR(__xludf.DUMMYFUNCTION("""COMPUTED_VALUE"""),258.37)</f>
        <v>258.37</v>
      </c>
      <c r="D187" s="3">
        <f>IFERROR(__xludf.DUMMYFUNCTION("""COMPUTED_VALUE"""),240.7)</f>
        <v>240.7</v>
      </c>
      <c r="E187" s="3">
        <f>IFERROR(__xludf.DUMMYFUNCTION("""COMPUTED_VALUE"""),241.05)</f>
        <v>241.05</v>
      </c>
      <c r="F187" s="3">
        <f>IFERROR(__xludf.DUMMYFUNCTION("""COMPUTED_VALUE"""),1.79990552E8)</f>
        <v>179990552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>
        <f>IFERROR(__xludf.DUMMYFUNCTION("""COMPUTED_VALUE"""),45104.66666666667)</f>
        <v>45104.66667</v>
      </c>
      <c r="B188" s="3">
        <f>IFERROR(__xludf.DUMMYFUNCTION("""COMPUTED_VALUE"""),243.24)</f>
        <v>243.24</v>
      </c>
      <c r="C188" s="3">
        <f>IFERROR(__xludf.DUMMYFUNCTION("""COMPUTED_VALUE"""),250.39)</f>
        <v>250.39</v>
      </c>
      <c r="D188" s="3">
        <f>IFERROR(__xludf.DUMMYFUNCTION("""COMPUTED_VALUE"""),240.85)</f>
        <v>240.85</v>
      </c>
      <c r="E188" s="3">
        <f>IFERROR(__xludf.DUMMYFUNCTION("""COMPUTED_VALUE"""),250.21)</f>
        <v>250.21</v>
      </c>
      <c r="F188" s="3">
        <f>IFERROR(__xludf.DUMMYFUNCTION("""COMPUTED_VALUE"""),1.64968214E8)</f>
        <v>164968214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>
        <f>IFERROR(__xludf.DUMMYFUNCTION("""COMPUTED_VALUE"""),45105.66666666667)</f>
        <v>45105.66667</v>
      </c>
      <c r="B189" s="3">
        <f>IFERROR(__xludf.DUMMYFUNCTION("""COMPUTED_VALUE"""),249.7)</f>
        <v>249.7</v>
      </c>
      <c r="C189" s="3">
        <f>IFERROR(__xludf.DUMMYFUNCTION("""COMPUTED_VALUE"""),259.88)</f>
        <v>259.88</v>
      </c>
      <c r="D189" s="3">
        <f>IFERROR(__xludf.DUMMYFUNCTION("""COMPUTED_VALUE"""),248.89)</f>
        <v>248.89</v>
      </c>
      <c r="E189" s="3">
        <f>IFERROR(__xludf.DUMMYFUNCTION("""COMPUTED_VALUE"""),256.24)</f>
        <v>256.24</v>
      </c>
      <c r="F189" s="3">
        <f>IFERROR(__xludf.DUMMYFUNCTION("""COMPUTED_VALUE"""),1.59770797E8)</f>
        <v>159770797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>
        <f>IFERROR(__xludf.DUMMYFUNCTION("""COMPUTED_VALUE"""),45106.66666666667)</f>
        <v>45106.66667</v>
      </c>
      <c r="B190" s="3">
        <f>IFERROR(__xludf.DUMMYFUNCTION("""COMPUTED_VALUE"""),258.03)</f>
        <v>258.03</v>
      </c>
      <c r="C190" s="3">
        <f>IFERROR(__xludf.DUMMYFUNCTION("""COMPUTED_VALUE"""),260.74)</f>
        <v>260.74</v>
      </c>
      <c r="D190" s="3">
        <f>IFERROR(__xludf.DUMMYFUNCTION("""COMPUTED_VALUE"""),253.61)</f>
        <v>253.61</v>
      </c>
      <c r="E190" s="3">
        <f>IFERROR(__xludf.DUMMYFUNCTION("""COMPUTED_VALUE"""),257.5)</f>
        <v>257.5</v>
      </c>
      <c r="F190" s="3">
        <f>IFERROR(__xludf.DUMMYFUNCTION("""COMPUTED_VALUE"""),1.3128336E8)</f>
        <v>131283360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>
        <f>IFERROR(__xludf.DUMMYFUNCTION("""COMPUTED_VALUE"""),45107.66666666667)</f>
        <v>45107.66667</v>
      </c>
      <c r="B191" s="3">
        <f>IFERROR(__xludf.DUMMYFUNCTION("""COMPUTED_VALUE"""),260.6)</f>
        <v>260.6</v>
      </c>
      <c r="C191" s="3">
        <f>IFERROR(__xludf.DUMMYFUNCTION("""COMPUTED_VALUE"""),264.45)</f>
        <v>264.45</v>
      </c>
      <c r="D191" s="3">
        <f>IFERROR(__xludf.DUMMYFUNCTION("""COMPUTED_VALUE"""),259.89)</f>
        <v>259.89</v>
      </c>
      <c r="E191" s="3">
        <f>IFERROR(__xludf.DUMMYFUNCTION("""COMPUTED_VALUE"""),261.77)</f>
        <v>261.77</v>
      </c>
      <c r="F191" s="3">
        <f>IFERROR(__xludf.DUMMYFUNCTION("""COMPUTED_VALUE"""),1.12620784E8)</f>
        <v>112620784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>
        <f>IFERROR(__xludf.DUMMYFUNCTION("""COMPUTED_VALUE"""),45110.54513888889)</f>
        <v>45110.54514</v>
      </c>
      <c r="B192" s="3">
        <f>IFERROR(__xludf.DUMMYFUNCTION("""COMPUTED_VALUE"""),276.49)</f>
        <v>276.49</v>
      </c>
      <c r="C192" s="3">
        <f>IFERROR(__xludf.DUMMYFUNCTION("""COMPUTED_VALUE"""),284.25)</f>
        <v>284.25</v>
      </c>
      <c r="D192" s="3">
        <f>IFERROR(__xludf.DUMMYFUNCTION("""COMPUTED_VALUE"""),275.11)</f>
        <v>275.11</v>
      </c>
      <c r="E192" s="3">
        <f>IFERROR(__xludf.DUMMYFUNCTION("""COMPUTED_VALUE"""),279.82)</f>
        <v>279.82</v>
      </c>
      <c r="F192" s="3">
        <f>IFERROR(__xludf.DUMMYFUNCTION("""COMPUTED_VALUE"""),1.19685891E8)</f>
        <v>119685891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>
        <f>IFERROR(__xludf.DUMMYFUNCTION("""COMPUTED_VALUE"""),45112.66666666667)</f>
        <v>45112.66667</v>
      </c>
      <c r="B193" s="3">
        <f>IFERROR(__xludf.DUMMYFUNCTION("""COMPUTED_VALUE"""),278.82)</f>
        <v>278.82</v>
      </c>
      <c r="C193" s="3">
        <f>IFERROR(__xludf.DUMMYFUNCTION("""COMPUTED_VALUE"""),283.85)</f>
        <v>283.85</v>
      </c>
      <c r="D193" s="3">
        <f>IFERROR(__xludf.DUMMYFUNCTION("""COMPUTED_VALUE"""),277.6)</f>
        <v>277.6</v>
      </c>
      <c r="E193" s="3">
        <f>IFERROR(__xludf.DUMMYFUNCTION("""COMPUTED_VALUE"""),282.48)</f>
        <v>282.48</v>
      </c>
      <c r="F193" s="3">
        <f>IFERROR(__xludf.DUMMYFUNCTION("""COMPUTED_VALUE"""),1.31530862E8)</f>
        <v>131530862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>
        <f>IFERROR(__xludf.DUMMYFUNCTION("""COMPUTED_VALUE"""),45113.66666666667)</f>
        <v>45113.66667</v>
      </c>
      <c r="B194" s="3">
        <f>IFERROR(__xludf.DUMMYFUNCTION("""COMPUTED_VALUE"""),278.09)</f>
        <v>278.09</v>
      </c>
      <c r="C194" s="3">
        <f>IFERROR(__xludf.DUMMYFUNCTION("""COMPUTED_VALUE"""),279.97)</f>
        <v>279.97</v>
      </c>
      <c r="D194" s="3">
        <f>IFERROR(__xludf.DUMMYFUNCTION("""COMPUTED_VALUE"""),272.88)</f>
        <v>272.88</v>
      </c>
      <c r="E194" s="3">
        <f>IFERROR(__xludf.DUMMYFUNCTION("""COMPUTED_VALUE"""),276.54)</f>
        <v>276.54</v>
      </c>
      <c r="F194" s="3">
        <f>IFERROR(__xludf.DUMMYFUNCTION("""COMPUTED_VALUE"""),1.20707419E8)</f>
        <v>120707419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>
        <f>IFERROR(__xludf.DUMMYFUNCTION("""COMPUTED_VALUE"""),45114.66666666667)</f>
        <v>45114.66667</v>
      </c>
      <c r="B195" s="3">
        <f>IFERROR(__xludf.DUMMYFUNCTION("""COMPUTED_VALUE"""),278.43)</f>
        <v>278.43</v>
      </c>
      <c r="C195" s="3">
        <f>IFERROR(__xludf.DUMMYFUNCTION("""COMPUTED_VALUE"""),280.78)</f>
        <v>280.78</v>
      </c>
      <c r="D195" s="3">
        <f>IFERROR(__xludf.DUMMYFUNCTION("""COMPUTED_VALUE"""),273.77)</f>
        <v>273.77</v>
      </c>
      <c r="E195" s="3">
        <f>IFERROR(__xludf.DUMMYFUNCTION("""COMPUTED_VALUE"""),274.43)</f>
        <v>274.43</v>
      </c>
      <c r="F195" s="3">
        <f>IFERROR(__xludf.DUMMYFUNCTION("""COMPUTED_VALUE"""),1.13879174E8)</f>
        <v>113879174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>
        <f>IFERROR(__xludf.DUMMYFUNCTION("""COMPUTED_VALUE"""),45117.66666666667)</f>
        <v>45117.66667</v>
      </c>
      <c r="B196" s="3">
        <f>IFERROR(__xludf.DUMMYFUNCTION("""COMPUTED_VALUE"""),276.47)</f>
        <v>276.47</v>
      </c>
      <c r="C196" s="3">
        <f>IFERROR(__xludf.DUMMYFUNCTION("""COMPUTED_VALUE"""),277.52)</f>
        <v>277.52</v>
      </c>
      <c r="D196" s="3">
        <f>IFERROR(__xludf.DUMMYFUNCTION("""COMPUTED_VALUE"""),265.1)</f>
        <v>265.1</v>
      </c>
      <c r="E196" s="3">
        <f>IFERROR(__xludf.DUMMYFUNCTION("""COMPUTED_VALUE"""),269.61)</f>
        <v>269.61</v>
      </c>
      <c r="F196" s="3">
        <f>IFERROR(__xludf.DUMMYFUNCTION("""COMPUTED_VALUE"""),1.19425405E8)</f>
        <v>119425405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>
        <f>IFERROR(__xludf.DUMMYFUNCTION("""COMPUTED_VALUE"""),45118.66666666667)</f>
        <v>45118.66667</v>
      </c>
      <c r="B197" s="3">
        <f>IFERROR(__xludf.DUMMYFUNCTION("""COMPUTED_VALUE"""),268.65)</f>
        <v>268.65</v>
      </c>
      <c r="C197" s="3">
        <f>IFERROR(__xludf.DUMMYFUNCTION("""COMPUTED_VALUE"""),270.9)</f>
        <v>270.9</v>
      </c>
      <c r="D197" s="3">
        <f>IFERROR(__xludf.DUMMYFUNCTION("""COMPUTED_VALUE"""),266.37)</f>
        <v>266.37</v>
      </c>
      <c r="E197" s="3">
        <f>IFERROR(__xludf.DUMMYFUNCTION("""COMPUTED_VALUE"""),269.79)</f>
        <v>269.79</v>
      </c>
      <c r="F197" s="3">
        <f>IFERROR(__xludf.DUMMYFUNCTION("""COMPUTED_VALUE"""),9.1972358E7)</f>
        <v>91972358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>
        <f>IFERROR(__xludf.DUMMYFUNCTION("""COMPUTED_VALUE"""),45119.66666666667)</f>
        <v>45119.66667</v>
      </c>
      <c r="B198" s="3">
        <f>IFERROR(__xludf.DUMMYFUNCTION("""COMPUTED_VALUE"""),276.33)</f>
        <v>276.33</v>
      </c>
      <c r="C198" s="3">
        <f>IFERROR(__xludf.DUMMYFUNCTION("""COMPUTED_VALUE"""),276.52)</f>
        <v>276.52</v>
      </c>
      <c r="D198" s="3">
        <f>IFERROR(__xludf.DUMMYFUNCTION("""COMPUTED_VALUE"""),271.46)</f>
        <v>271.46</v>
      </c>
      <c r="E198" s="3">
        <f>IFERROR(__xludf.DUMMYFUNCTION("""COMPUTED_VALUE"""),271.99)</f>
        <v>271.99</v>
      </c>
      <c r="F198" s="3">
        <f>IFERROR(__xludf.DUMMYFUNCTION("""COMPUTED_VALUE"""),9.5672139E7)</f>
        <v>95672139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>
        <f>IFERROR(__xludf.DUMMYFUNCTION("""COMPUTED_VALUE"""),45120.66666666667)</f>
        <v>45120.66667</v>
      </c>
      <c r="B199" s="3">
        <f>IFERROR(__xludf.DUMMYFUNCTION("""COMPUTED_VALUE"""),274.59)</f>
        <v>274.59</v>
      </c>
      <c r="C199" s="3">
        <f>IFERROR(__xludf.DUMMYFUNCTION("""COMPUTED_VALUE"""),279.45)</f>
        <v>279.45</v>
      </c>
      <c r="D199" s="3">
        <f>IFERROR(__xludf.DUMMYFUNCTION("""COMPUTED_VALUE"""),270.6)</f>
        <v>270.6</v>
      </c>
      <c r="E199" s="3">
        <f>IFERROR(__xludf.DUMMYFUNCTION("""COMPUTED_VALUE"""),277.9)</f>
        <v>277.9</v>
      </c>
      <c r="F199" s="3">
        <f>IFERROR(__xludf.DUMMYFUNCTION("""COMPUTED_VALUE"""),1.12681458E8)</f>
        <v>112681458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>
        <f>IFERROR(__xludf.DUMMYFUNCTION("""COMPUTED_VALUE"""),45121.66666666667)</f>
        <v>45121.66667</v>
      </c>
      <c r="B200" s="3">
        <f>IFERROR(__xludf.DUMMYFUNCTION("""COMPUTED_VALUE"""),277.01)</f>
        <v>277.01</v>
      </c>
      <c r="C200" s="3">
        <f>IFERROR(__xludf.DUMMYFUNCTION("""COMPUTED_VALUE"""),285.3)</f>
        <v>285.3</v>
      </c>
      <c r="D200" s="3">
        <f>IFERROR(__xludf.DUMMYFUNCTION("""COMPUTED_VALUE"""),276.31)</f>
        <v>276.31</v>
      </c>
      <c r="E200" s="3">
        <f>IFERROR(__xludf.DUMMYFUNCTION("""COMPUTED_VALUE"""),281.38)</f>
        <v>281.38</v>
      </c>
      <c r="F200" s="3">
        <f>IFERROR(__xludf.DUMMYFUNCTION("""COMPUTED_VALUE"""),1.20062369E8)</f>
        <v>120062369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>
        <f>IFERROR(__xludf.DUMMYFUNCTION("""COMPUTED_VALUE"""),45124.66666666667)</f>
        <v>45124.66667</v>
      </c>
      <c r="B201" s="3">
        <f>IFERROR(__xludf.DUMMYFUNCTION("""COMPUTED_VALUE"""),286.63)</f>
        <v>286.63</v>
      </c>
      <c r="C201" s="3">
        <f>IFERROR(__xludf.DUMMYFUNCTION("""COMPUTED_VALUE"""),292.23)</f>
        <v>292.23</v>
      </c>
      <c r="D201" s="3">
        <f>IFERROR(__xludf.DUMMYFUNCTION("""COMPUTED_VALUE"""),283.57)</f>
        <v>283.57</v>
      </c>
      <c r="E201" s="3">
        <f>IFERROR(__xludf.DUMMYFUNCTION("""COMPUTED_VALUE"""),290.38)</f>
        <v>290.38</v>
      </c>
      <c r="F201" s="3">
        <f>IFERROR(__xludf.DUMMYFUNCTION("""COMPUTED_VALUE"""),1.31569593E8)</f>
        <v>131569593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>
        <f>IFERROR(__xludf.DUMMYFUNCTION("""COMPUTED_VALUE"""),45125.66666666667)</f>
        <v>45125.66667</v>
      </c>
      <c r="B202" s="3">
        <f>IFERROR(__xludf.DUMMYFUNCTION("""COMPUTED_VALUE"""),290.15)</f>
        <v>290.15</v>
      </c>
      <c r="C202" s="3">
        <f>IFERROR(__xludf.DUMMYFUNCTION("""COMPUTED_VALUE"""),295.26)</f>
        <v>295.26</v>
      </c>
      <c r="D202" s="3">
        <f>IFERROR(__xludf.DUMMYFUNCTION("""COMPUTED_VALUE"""),286.01)</f>
        <v>286.01</v>
      </c>
      <c r="E202" s="3">
        <f>IFERROR(__xludf.DUMMYFUNCTION("""COMPUTED_VALUE"""),293.34)</f>
        <v>293.34</v>
      </c>
      <c r="F202" s="3">
        <f>IFERROR(__xludf.DUMMYFUNCTION("""COMPUTED_VALUE"""),1.12434713E8)</f>
        <v>112434713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>
        <f>IFERROR(__xludf.DUMMYFUNCTION("""COMPUTED_VALUE"""),45126.66666666667)</f>
        <v>45126.66667</v>
      </c>
      <c r="B203" s="3">
        <f>IFERROR(__xludf.DUMMYFUNCTION("""COMPUTED_VALUE"""),296.04)</f>
        <v>296.04</v>
      </c>
      <c r="C203" s="3">
        <f>IFERROR(__xludf.DUMMYFUNCTION("""COMPUTED_VALUE"""),299.29)</f>
        <v>299.29</v>
      </c>
      <c r="D203" s="3">
        <f>IFERROR(__xludf.DUMMYFUNCTION("""COMPUTED_VALUE"""),289.52)</f>
        <v>289.52</v>
      </c>
      <c r="E203" s="3">
        <f>IFERROR(__xludf.DUMMYFUNCTION("""COMPUTED_VALUE"""),291.26)</f>
        <v>291.26</v>
      </c>
      <c r="F203" s="3">
        <f>IFERROR(__xludf.DUMMYFUNCTION("""COMPUTED_VALUE"""),1.42355353E8)</f>
        <v>142355353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>
        <f>IFERROR(__xludf.DUMMYFUNCTION("""COMPUTED_VALUE"""),45127.66666666667)</f>
        <v>45127.66667</v>
      </c>
      <c r="B204" s="3">
        <f>IFERROR(__xludf.DUMMYFUNCTION("""COMPUTED_VALUE"""),279.56)</f>
        <v>279.56</v>
      </c>
      <c r="C204" s="3">
        <f>IFERROR(__xludf.DUMMYFUNCTION("""COMPUTED_VALUE"""),280.93)</f>
        <v>280.93</v>
      </c>
      <c r="D204" s="3">
        <f>IFERROR(__xludf.DUMMYFUNCTION("""COMPUTED_VALUE"""),261.2)</f>
        <v>261.2</v>
      </c>
      <c r="E204" s="3">
        <f>IFERROR(__xludf.DUMMYFUNCTION("""COMPUTED_VALUE"""),262.9)</f>
        <v>262.9</v>
      </c>
      <c r="F204" s="3">
        <f>IFERROR(__xludf.DUMMYFUNCTION("""COMPUTED_VALUE"""),1.75158273E8)</f>
        <v>175158273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>
        <f>IFERROR(__xludf.DUMMYFUNCTION("""COMPUTED_VALUE"""),45128.66666666667)</f>
        <v>45128.66667</v>
      </c>
      <c r="B205" s="3">
        <f>IFERROR(__xludf.DUMMYFUNCTION("""COMPUTED_VALUE"""),268.0)</f>
        <v>268</v>
      </c>
      <c r="C205" s="3">
        <f>IFERROR(__xludf.DUMMYFUNCTION("""COMPUTED_VALUE"""),268.0)</f>
        <v>268</v>
      </c>
      <c r="D205" s="3">
        <f>IFERROR(__xludf.DUMMYFUNCTION("""COMPUTED_VALUE"""),255.8)</f>
        <v>255.8</v>
      </c>
      <c r="E205" s="3">
        <f>IFERROR(__xludf.DUMMYFUNCTION("""COMPUTED_VALUE"""),260.02)</f>
        <v>260.02</v>
      </c>
      <c r="F205" s="3">
        <f>IFERROR(__xludf.DUMMYFUNCTION("""COMPUTED_VALUE"""),1.61796073E8)</f>
        <v>161796073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>
        <f>IFERROR(__xludf.DUMMYFUNCTION("""COMPUTED_VALUE"""),45131.66666666667)</f>
        <v>45131.66667</v>
      </c>
      <c r="B206" s="3">
        <f>IFERROR(__xludf.DUMMYFUNCTION("""COMPUTED_VALUE"""),255.85)</f>
        <v>255.85</v>
      </c>
      <c r="C206" s="3">
        <f>IFERROR(__xludf.DUMMYFUNCTION("""COMPUTED_VALUE"""),269.85)</f>
        <v>269.85</v>
      </c>
      <c r="D206" s="3">
        <f>IFERROR(__xludf.DUMMYFUNCTION("""COMPUTED_VALUE"""),254.12)</f>
        <v>254.12</v>
      </c>
      <c r="E206" s="3">
        <f>IFERROR(__xludf.DUMMYFUNCTION("""COMPUTED_VALUE"""),269.06)</f>
        <v>269.06</v>
      </c>
      <c r="F206" s="3">
        <f>IFERROR(__xludf.DUMMYFUNCTION("""COMPUTED_VALUE"""),1.37005037E8)</f>
        <v>137005037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>
        <f>IFERROR(__xludf.DUMMYFUNCTION("""COMPUTED_VALUE"""),45132.66666666667)</f>
        <v>45132.66667</v>
      </c>
      <c r="B207" s="3">
        <f>IFERROR(__xludf.DUMMYFUNCTION("""COMPUTED_VALUE"""),272.38)</f>
        <v>272.38</v>
      </c>
      <c r="C207" s="3">
        <f>IFERROR(__xludf.DUMMYFUNCTION("""COMPUTED_VALUE"""),272.9)</f>
        <v>272.9</v>
      </c>
      <c r="D207" s="3">
        <f>IFERROR(__xludf.DUMMYFUNCTION("""COMPUTED_VALUE"""),265.0)</f>
        <v>265</v>
      </c>
      <c r="E207" s="3">
        <f>IFERROR(__xludf.DUMMYFUNCTION("""COMPUTED_VALUE"""),265.28)</f>
        <v>265.28</v>
      </c>
      <c r="F207" s="3">
        <f>IFERROR(__xludf.DUMMYFUNCTION("""COMPUTED_VALUE"""),1.12757327E8)</f>
        <v>112757327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>
        <f>IFERROR(__xludf.DUMMYFUNCTION("""COMPUTED_VALUE"""),45133.66666666667)</f>
        <v>45133.66667</v>
      </c>
      <c r="B208" s="3">
        <f>IFERROR(__xludf.DUMMYFUNCTION("""COMPUTED_VALUE"""),263.25)</f>
        <v>263.25</v>
      </c>
      <c r="C208" s="3">
        <f>IFERROR(__xludf.DUMMYFUNCTION("""COMPUTED_VALUE"""),268.04)</f>
        <v>268.04</v>
      </c>
      <c r="D208" s="3">
        <f>IFERROR(__xludf.DUMMYFUNCTION("""COMPUTED_VALUE"""),261.75)</f>
        <v>261.75</v>
      </c>
      <c r="E208" s="3">
        <f>IFERROR(__xludf.DUMMYFUNCTION("""COMPUTED_VALUE"""),264.35)</f>
        <v>264.35</v>
      </c>
      <c r="F208" s="3">
        <f>IFERROR(__xludf.DUMMYFUNCTION("""COMPUTED_VALUE"""),9.5856177E7)</f>
        <v>95856177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>
        <f>IFERROR(__xludf.DUMMYFUNCTION("""COMPUTED_VALUE"""),45134.66666666667)</f>
        <v>45134.66667</v>
      </c>
      <c r="B209" s="3">
        <f>IFERROR(__xludf.DUMMYFUNCTION("""COMPUTED_VALUE"""),268.31)</f>
        <v>268.31</v>
      </c>
      <c r="C209" s="3">
        <f>IFERROR(__xludf.DUMMYFUNCTION("""COMPUTED_VALUE"""),269.13)</f>
        <v>269.13</v>
      </c>
      <c r="D209" s="3">
        <f>IFERROR(__xludf.DUMMYFUNCTION("""COMPUTED_VALUE"""),255.3)</f>
        <v>255.3</v>
      </c>
      <c r="E209" s="3">
        <f>IFERROR(__xludf.DUMMYFUNCTION("""COMPUTED_VALUE"""),255.71)</f>
        <v>255.71</v>
      </c>
      <c r="F209" s="3">
        <f>IFERROR(__xludf.DUMMYFUNCTION("""COMPUTED_VALUE"""),1.03697263E8)</f>
        <v>103697263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>
        <f>IFERROR(__xludf.DUMMYFUNCTION("""COMPUTED_VALUE"""),45135.66666666667)</f>
        <v>45135.66667</v>
      </c>
      <c r="B210" s="3">
        <f>IFERROR(__xludf.DUMMYFUNCTION("""COMPUTED_VALUE"""),259.86)</f>
        <v>259.86</v>
      </c>
      <c r="C210" s="3">
        <f>IFERROR(__xludf.DUMMYFUNCTION("""COMPUTED_VALUE"""),267.25)</f>
        <v>267.25</v>
      </c>
      <c r="D210" s="3">
        <f>IFERROR(__xludf.DUMMYFUNCTION("""COMPUTED_VALUE"""),258.23)</f>
        <v>258.23</v>
      </c>
      <c r="E210" s="3">
        <f>IFERROR(__xludf.DUMMYFUNCTION("""COMPUTED_VALUE"""),266.44)</f>
        <v>266.44</v>
      </c>
      <c r="F210" s="3">
        <f>IFERROR(__xludf.DUMMYFUNCTION("""COMPUTED_VALUE"""),1.11446026E8)</f>
        <v>111446026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>
        <f>IFERROR(__xludf.DUMMYFUNCTION("""COMPUTED_VALUE"""),45138.66666666667)</f>
        <v>45138.66667</v>
      </c>
      <c r="B211" s="3">
        <f>IFERROR(__xludf.DUMMYFUNCTION("""COMPUTED_VALUE"""),267.48)</f>
        <v>267.48</v>
      </c>
      <c r="C211" s="3">
        <f>IFERROR(__xludf.DUMMYFUNCTION("""COMPUTED_VALUE"""),269.08)</f>
        <v>269.08</v>
      </c>
      <c r="D211" s="3">
        <f>IFERROR(__xludf.DUMMYFUNCTION("""COMPUTED_VALUE"""),263.78)</f>
        <v>263.78</v>
      </c>
      <c r="E211" s="3">
        <f>IFERROR(__xludf.DUMMYFUNCTION("""COMPUTED_VALUE"""),267.43)</f>
        <v>267.43</v>
      </c>
      <c r="F211" s="3">
        <f>IFERROR(__xludf.DUMMYFUNCTION("""COMPUTED_VALUE"""),8.4582172E7)</f>
        <v>84582172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>
        <f>IFERROR(__xludf.DUMMYFUNCTION("""COMPUTED_VALUE"""),45139.66666666667)</f>
        <v>45139.66667</v>
      </c>
      <c r="B212" s="3">
        <f>IFERROR(__xludf.DUMMYFUNCTION("""COMPUTED_VALUE"""),266.26)</f>
        <v>266.26</v>
      </c>
      <c r="C212" s="3">
        <f>IFERROR(__xludf.DUMMYFUNCTION("""COMPUTED_VALUE"""),266.47)</f>
        <v>266.47</v>
      </c>
      <c r="D212" s="3">
        <f>IFERROR(__xludf.DUMMYFUNCTION("""COMPUTED_VALUE"""),260.25)</f>
        <v>260.25</v>
      </c>
      <c r="E212" s="3">
        <f>IFERROR(__xludf.DUMMYFUNCTION("""COMPUTED_VALUE"""),261.07)</f>
        <v>261.07</v>
      </c>
      <c r="F212" s="3">
        <f>IFERROR(__xludf.DUMMYFUNCTION("""COMPUTED_VALUE"""),8.364572E7)</f>
        <v>83645720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>
        <f>IFERROR(__xludf.DUMMYFUNCTION("""COMPUTED_VALUE"""),45140.66666666667)</f>
        <v>45140.66667</v>
      </c>
      <c r="B213" s="3">
        <f>IFERROR(__xludf.DUMMYFUNCTION("""COMPUTED_VALUE"""),255.57)</f>
        <v>255.57</v>
      </c>
      <c r="C213" s="3">
        <f>IFERROR(__xludf.DUMMYFUNCTION("""COMPUTED_VALUE"""),259.52)</f>
        <v>259.52</v>
      </c>
      <c r="D213" s="3">
        <f>IFERROR(__xludf.DUMMYFUNCTION("""COMPUTED_VALUE"""),250.49)</f>
        <v>250.49</v>
      </c>
      <c r="E213" s="3">
        <f>IFERROR(__xludf.DUMMYFUNCTION("""COMPUTED_VALUE"""),254.11)</f>
        <v>254.11</v>
      </c>
      <c r="F213" s="3">
        <f>IFERROR(__xludf.DUMMYFUNCTION("""COMPUTED_VALUE"""),1.01752865E8)</f>
        <v>101752865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>
        <f>IFERROR(__xludf.DUMMYFUNCTION("""COMPUTED_VALUE"""),45141.66666666667)</f>
        <v>45141.66667</v>
      </c>
      <c r="B214" s="3">
        <f>IFERROR(__xludf.DUMMYFUNCTION("""COMPUTED_VALUE"""),252.04)</f>
        <v>252.04</v>
      </c>
      <c r="C214" s="3">
        <f>IFERROR(__xludf.DUMMYFUNCTION("""COMPUTED_VALUE"""),260.49)</f>
        <v>260.49</v>
      </c>
      <c r="D214" s="3">
        <f>IFERROR(__xludf.DUMMYFUNCTION("""COMPUTED_VALUE"""),252.0)</f>
        <v>252</v>
      </c>
      <c r="E214" s="3">
        <f>IFERROR(__xludf.DUMMYFUNCTION("""COMPUTED_VALUE"""),259.32)</f>
        <v>259.32</v>
      </c>
      <c r="F214" s="3">
        <f>IFERROR(__xludf.DUMMYFUNCTION("""COMPUTED_VALUE"""),9.7829545E7)</f>
        <v>97829545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>
        <f>IFERROR(__xludf.DUMMYFUNCTION("""COMPUTED_VALUE"""),45142.66666666667)</f>
        <v>45142.66667</v>
      </c>
      <c r="B215" s="3">
        <f>IFERROR(__xludf.DUMMYFUNCTION("""COMPUTED_VALUE"""),260.97)</f>
        <v>260.97</v>
      </c>
      <c r="C215" s="3">
        <f>IFERROR(__xludf.DUMMYFUNCTION("""COMPUTED_VALUE"""),264.77)</f>
        <v>264.77</v>
      </c>
      <c r="D215" s="3">
        <f>IFERROR(__xludf.DUMMYFUNCTION("""COMPUTED_VALUE"""),253.11)</f>
        <v>253.11</v>
      </c>
      <c r="E215" s="3">
        <f>IFERROR(__xludf.DUMMYFUNCTION("""COMPUTED_VALUE"""),253.86)</f>
        <v>253.86</v>
      </c>
      <c r="F215" s="3">
        <f>IFERROR(__xludf.DUMMYFUNCTION("""COMPUTED_VALUE"""),9.9539907E7)</f>
        <v>99539907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>
        <f>IFERROR(__xludf.DUMMYFUNCTION("""COMPUTED_VALUE"""),45145.66666666667)</f>
        <v>45145.66667</v>
      </c>
      <c r="B216" s="3">
        <f>IFERROR(__xludf.DUMMYFUNCTION("""COMPUTED_VALUE"""),251.45)</f>
        <v>251.45</v>
      </c>
      <c r="C216" s="3">
        <f>IFERROR(__xludf.DUMMYFUNCTION("""COMPUTED_VALUE"""),253.65)</f>
        <v>253.65</v>
      </c>
      <c r="D216" s="3">
        <f>IFERROR(__xludf.DUMMYFUNCTION("""COMPUTED_VALUE"""),242.76)</f>
        <v>242.76</v>
      </c>
      <c r="E216" s="3">
        <f>IFERROR(__xludf.DUMMYFUNCTION("""COMPUTED_VALUE"""),251.45)</f>
        <v>251.45</v>
      </c>
      <c r="F216" s="3">
        <f>IFERROR(__xludf.DUMMYFUNCTION("""COMPUTED_VALUE"""),1.11097943E8)</f>
        <v>111097943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>
        <f>IFERROR(__xludf.DUMMYFUNCTION("""COMPUTED_VALUE"""),45146.66666666667)</f>
        <v>45146.66667</v>
      </c>
      <c r="B217" s="3">
        <f>IFERROR(__xludf.DUMMYFUNCTION("""COMPUTED_VALUE"""),247.45)</f>
        <v>247.45</v>
      </c>
      <c r="C217" s="3">
        <f>IFERROR(__xludf.DUMMYFUNCTION("""COMPUTED_VALUE"""),250.92)</f>
        <v>250.92</v>
      </c>
      <c r="D217" s="3">
        <f>IFERROR(__xludf.DUMMYFUNCTION("""COMPUTED_VALUE"""),245.01)</f>
        <v>245.01</v>
      </c>
      <c r="E217" s="3">
        <f>IFERROR(__xludf.DUMMYFUNCTION("""COMPUTED_VALUE"""),249.7)</f>
        <v>249.7</v>
      </c>
      <c r="F217" s="3">
        <f>IFERROR(__xludf.DUMMYFUNCTION("""COMPUTED_VALUE"""),9.6642183E7)</f>
        <v>96642183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>
        <f>IFERROR(__xludf.DUMMYFUNCTION("""COMPUTED_VALUE"""),45147.66666666667)</f>
        <v>45147.66667</v>
      </c>
      <c r="B218" s="3">
        <f>IFERROR(__xludf.DUMMYFUNCTION("""COMPUTED_VALUE"""),250.87)</f>
        <v>250.87</v>
      </c>
      <c r="C218" s="3">
        <f>IFERROR(__xludf.DUMMYFUNCTION("""COMPUTED_VALUE"""),251.1)</f>
        <v>251.1</v>
      </c>
      <c r="D218" s="3">
        <f>IFERROR(__xludf.DUMMYFUNCTION("""COMPUTED_VALUE"""),241.9)</f>
        <v>241.9</v>
      </c>
      <c r="E218" s="3">
        <f>IFERROR(__xludf.DUMMYFUNCTION("""COMPUTED_VALUE"""),242.19)</f>
        <v>242.19</v>
      </c>
      <c r="F218" s="3">
        <f>IFERROR(__xludf.DUMMYFUNCTION("""COMPUTED_VALUE"""),1.01596324E8)</f>
        <v>101596324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>
        <f>IFERROR(__xludf.DUMMYFUNCTION("""COMPUTED_VALUE"""),45148.66666666667)</f>
        <v>45148.66667</v>
      </c>
      <c r="B219" s="3">
        <f>IFERROR(__xludf.DUMMYFUNCTION("""COMPUTED_VALUE"""),245.4)</f>
        <v>245.4</v>
      </c>
      <c r="C219" s="3">
        <f>IFERROR(__xludf.DUMMYFUNCTION("""COMPUTED_VALUE"""),251.8)</f>
        <v>251.8</v>
      </c>
      <c r="D219" s="3">
        <f>IFERROR(__xludf.DUMMYFUNCTION("""COMPUTED_VALUE"""),243.0)</f>
        <v>243</v>
      </c>
      <c r="E219" s="3">
        <f>IFERROR(__xludf.DUMMYFUNCTION("""COMPUTED_VALUE"""),245.34)</f>
        <v>245.34</v>
      </c>
      <c r="F219" s="3">
        <f>IFERROR(__xludf.DUMMYFUNCTION("""COMPUTED_VALUE"""),1.09498608E8)</f>
        <v>109498608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>
        <f>IFERROR(__xludf.DUMMYFUNCTION("""COMPUTED_VALUE"""),45149.66666666667)</f>
        <v>45149.66667</v>
      </c>
      <c r="B220" s="3">
        <f>IFERROR(__xludf.DUMMYFUNCTION("""COMPUTED_VALUE"""),241.77)</f>
        <v>241.77</v>
      </c>
      <c r="C220" s="3">
        <f>IFERROR(__xludf.DUMMYFUNCTION("""COMPUTED_VALUE"""),243.79)</f>
        <v>243.79</v>
      </c>
      <c r="D220" s="3">
        <f>IFERROR(__xludf.DUMMYFUNCTION("""COMPUTED_VALUE"""),238.02)</f>
        <v>238.02</v>
      </c>
      <c r="E220" s="3">
        <f>IFERROR(__xludf.DUMMYFUNCTION("""COMPUTED_VALUE"""),242.65)</f>
        <v>242.65</v>
      </c>
      <c r="F220" s="3">
        <f>IFERROR(__xludf.DUMMYFUNCTION("""COMPUTED_VALUE"""),9.9038642E7)</f>
        <v>99038642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>
        <f>IFERROR(__xludf.DUMMYFUNCTION("""COMPUTED_VALUE"""),45152.66666666667)</f>
        <v>45152.66667</v>
      </c>
      <c r="B221" s="3">
        <f>IFERROR(__xludf.DUMMYFUNCTION("""COMPUTED_VALUE"""),235.7)</f>
        <v>235.7</v>
      </c>
      <c r="C221" s="3">
        <f>IFERROR(__xludf.DUMMYFUNCTION("""COMPUTED_VALUE"""),240.66)</f>
        <v>240.66</v>
      </c>
      <c r="D221" s="3">
        <f>IFERROR(__xludf.DUMMYFUNCTION("""COMPUTED_VALUE"""),233.75)</f>
        <v>233.75</v>
      </c>
      <c r="E221" s="3">
        <f>IFERROR(__xludf.DUMMYFUNCTION("""COMPUTED_VALUE"""),239.76)</f>
        <v>239.76</v>
      </c>
      <c r="F221" s="3">
        <f>IFERROR(__xludf.DUMMYFUNCTION("""COMPUTED_VALUE"""),9.8595331E7)</f>
        <v>98595331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>
        <f>IFERROR(__xludf.DUMMYFUNCTION("""COMPUTED_VALUE"""),45153.66666666667)</f>
        <v>45153.66667</v>
      </c>
      <c r="B222" s="3">
        <f>IFERROR(__xludf.DUMMYFUNCTION("""COMPUTED_VALUE"""),238.73)</f>
        <v>238.73</v>
      </c>
      <c r="C222" s="3">
        <f>IFERROR(__xludf.DUMMYFUNCTION("""COMPUTED_VALUE"""),240.5)</f>
        <v>240.5</v>
      </c>
      <c r="D222" s="3">
        <f>IFERROR(__xludf.DUMMYFUNCTION("""COMPUTED_VALUE"""),232.61)</f>
        <v>232.61</v>
      </c>
      <c r="E222" s="3">
        <f>IFERROR(__xludf.DUMMYFUNCTION("""COMPUTED_VALUE"""),232.96)</f>
        <v>232.96</v>
      </c>
      <c r="F222" s="3">
        <f>IFERROR(__xludf.DUMMYFUNCTION("""COMPUTED_VALUE"""),8.8197599E7)</f>
        <v>88197599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>
        <f>IFERROR(__xludf.DUMMYFUNCTION("""COMPUTED_VALUE"""),45154.66666666667)</f>
        <v>45154.66667</v>
      </c>
      <c r="B223" s="3">
        <f>IFERROR(__xludf.DUMMYFUNCTION("""COMPUTED_VALUE"""),228.02)</f>
        <v>228.02</v>
      </c>
      <c r="C223" s="3">
        <f>IFERROR(__xludf.DUMMYFUNCTION("""COMPUTED_VALUE"""),233.97)</f>
        <v>233.97</v>
      </c>
      <c r="D223" s="3">
        <f>IFERROR(__xludf.DUMMYFUNCTION("""COMPUTED_VALUE"""),225.38)</f>
        <v>225.38</v>
      </c>
      <c r="E223" s="3">
        <f>IFERROR(__xludf.DUMMYFUNCTION("""COMPUTED_VALUE"""),225.6)</f>
        <v>225.6</v>
      </c>
      <c r="F223" s="3">
        <f>IFERROR(__xludf.DUMMYFUNCTION("""COMPUTED_VALUE"""),1.1248452E8)</f>
        <v>112484520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>
        <f>IFERROR(__xludf.DUMMYFUNCTION("""COMPUTED_VALUE"""),45155.66666666667)</f>
        <v>45155.66667</v>
      </c>
      <c r="B224" s="3">
        <f>IFERROR(__xludf.DUMMYFUNCTION("""COMPUTED_VALUE"""),226.06)</f>
        <v>226.06</v>
      </c>
      <c r="C224" s="3">
        <f>IFERROR(__xludf.DUMMYFUNCTION("""COMPUTED_VALUE"""),226.74)</f>
        <v>226.74</v>
      </c>
      <c r="D224" s="3">
        <f>IFERROR(__xludf.DUMMYFUNCTION("""COMPUTED_VALUE"""),218.83)</f>
        <v>218.83</v>
      </c>
      <c r="E224" s="3">
        <f>IFERROR(__xludf.DUMMYFUNCTION("""COMPUTED_VALUE"""),219.22)</f>
        <v>219.22</v>
      </c>
      <c r="F224" s="3">
        <f>IFERROR(__xludf.DUMMYFUNCTION("""COMPUTED_VALUE"""),1.20718417E8)</f>
        <v>120718417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>
        <f>IFERROR(__xludf.DUMMYFUNCTION("""COMPUTED_VALUE"""),45156.66666666667)</f>
        <v>45156.66667</v>
      </c>
      <c r="B225" s="3">
        <f>IFERROR(__xludf.DUMMYFUNCTION("""COMPUTED_VALUE"""),214.12)</f>
        <v>214.12</v>
      </c>
      <c r="C225" s="3">
        <f>IFERROR(__xludf.DUMMYFUNCTION("""COMPUTED_VALUE"""),217.58)</f>
        <v>217.58</v>
      </c>
      <c r="D225" s="3">
        <f>IFERROR(__xludf.DUMMYFUNCTION("""COMPUTED_VALUE"""),212.36)</f>
        <v>212.36</v>
      </c>
      <c r="E225" s="3">
        <f>IFERROR(__xludf.DUMMYFUNCTION("""COMPUTED_VALUE"""),215.49)</f>
        <v>215.49</v>
      </c>
      <c r="F225" s="3">
        <f>IFERROR(__xludf.DUMMYFUNCTION("""COMPUTED_VALUE"""),1.36276584E8)</f>
        <v>136276584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>
        <f>IFERROR(__xludf.DUMMYFUNCTION("""COMPUTED_VALUE"""),45159.66666666667)</f>
        <v>45159.66667</v>
      </c>
      <c r="B226" s="3">
        <f>IFERROR(__xludf.DUMMYFUNCTION("""COMPUTED_VALUE"""),221.55)</f>
        <v>221.55</v>
      </c>
      <c r="C226" s="3">
        <f>IFERROR(__xludf.DUMMYFUNCTION("""COMPUTED_VALUE"""),232.13)</f>
        <v>232.13</v>
      </c>
      <c r="D226" s="3">
        <f>IFERROR(__xludf.DUMMYFUNCTION("""COMPUTED_VALUE"""),220.58)</f>
        <v>220.58</v>
      </c>
      <c r="E226" s="3">
        <f>IFERROR(__xludf.DUMMYFUNCTION("""COMPUTED_VALUE"""),231.28)</f>
        <v>231.28</v>
      </c>
      <c r="F226" s="3">
        <f>IFERROR(__xludf.DUMMYFUNCTION("""COMPUTED_VALUE"""),1.35702671E8)</f>
        <v>135702671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>
        <f>IFERROR(__xludf.DUMMYFUNCTION("""COMPUTED_VALUE"""),45160.66666666667)</f>
        <v>45160.66667</v>
      </c>
      <c r="B227" s="3">
        <f>IFERROR(__xludf.DUMMYFUNCTION("""COMPUTED_VALUE"""),240.25)</f>
        <v>240.25</v>
      </c>
      <c r="C227" s="3">
        <f>IFERROR(__xludf.DUMMYFUNCTION("""COMPUTED_VALUE"""),240.82)</f>
        <v>240.82</v>
      </c>
      <c r="D227" s="3">
        <f>IFERROR(__xludf.DUMMYFUNCTION("""COMPUTED_VALUE"""),229.55)</f>
        <v>229.55</v>
      </c>
      <c r="E227" s="3">
        <f>IFERROR(__xludf.DUMMYFUNCTION("""COMPUTED_VALUE"""),233.19)</f>
        <v>233.19</v>
      </c>
      <c r="F227" s="3">
        <f>IFERROR(__xludf.DUMMYFUNCTION("""COMPUTED_VALUE"""),1.30597886E8)</f>
        <v>130597886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>
        <f>IFERROR(__xludf.DUMMYFUNCTION("""COMPUTED_VALUE"""),45161.66666666667)</f>
        <v>45161.66667</v>
      </c>
      <c r="B228" s="3">
        <f>IFERROR(__xludf.DUMMYFUNCTION("""COMPUTED_VALUE"""),229.34)</f>
        <v>229.34</v>
      </c>
      <c r="C228" s="3">
        <f>IFERROR(__xludf.DUMMYFUNCTION("""COMPUTED_VALUE"""),238.98)</f>
        <v>238.98</v>
      </c>
      <c r="D228" s="3">
        <f>IFERROR(__xludf.DUMMYFUNCTION("""COMPUTED_VALUE"""),229.29)</f>
        <v>229.29</v>
      </c>
      <c r="E228" s="3">
        <f>IFERROR(__xludf.DUMMYFUNCTION("""COMPUTED_VALUE"""),236.86)</f>
        <v>236.86</v>
      </c>
      <c r="F228" s="3">
        <f>IFERROR(__xludf.DUMMYFUNCTION("""COMPUTED_VALUE"""),1.01077635E8)</f>
        <v>101077635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>
        <f>IFERROR(__xludf.DUMMYFUNCTION("""COMPUTED_VALUE"""),45162.66666666667)</f>
        <v>45162.66667</v>
      </c>
      <c r="B229" s="3">
        <f>IFERROR(__xludf.DUMMYFUNCTION("""COMPUTED_VALUE"""),238.66)</f>
        <v>238.66</v>
      </c>
      <c r="C229" s="3">
        <f>IFERROR(__xludf.DUMMYFUNCTION("""COMPUTED_VALUE"""),238.92)</f>
        <v>238.92</v>
      </c>
      <c r="D229" s="3">
        <f>IFERROR(__xludf.DUMMYFUNCTION("""COMPUTED_VALUE"""),228.18)</f>
        <v>228.18</v>
      </c>
      <c r="E229" s="3">
        <f>IFERROR(__xludf.DUMMYFUNCTION("""COMPUTED_VALUE"""),230.04)</f>
        <v>230.04</v>
      </c>
      <c r="F229" s="3">
        <f>IFERROR(__xludf.DUMMYFUNCTION("""COMPUTED_VALUE"""),9.9777432E7)</f>
        <v>99777432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>
        <f>IFERROR(__xludf.DUMMYFUNCTION("""COMPUTED_VALUE"""),45163.66666666667)</f>
        <v>45163.66667</v>
      </c>
      <c r="B230" s="3">
        <f>IFERROR(__xludf.DUMMYFUNCTION("""COMPUTED_VALUE"""),231.31)</f>
        <v>231.31</v>
      </c>
      <c r="C230" s="3">
        <f>IFERROR(__xludf.DUMMYFUNCTION("""COMPUTED_VALUE"""),239.0)</f>
        <v>239</v>
      </c>
      <c r="D230" s="3">
        <f>IFERROR(__xludf.DUMMYFUNCTION("""COMPUTED_VALUE"""),230.35)</f>
        <v>230.35</v>
      </c>
      <c r="E230" s="3">
        <f>IFERROR(__xludf.DUMMYFUNCTION("""COMPUTED_VALUE"""),238.59)</f>
        <v>238.59</v>
      </c>
      <c r="F230" s="3">
        <f>IFERROR(__xludf.DUMMYFUNCTION("""COMPUTED_VALUE"""),1.06612231E8)</f>
        <v>106612231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>
        <f>IFERROR(__xludf.DUMMYFUNCTION("""COMPUTED_VALUE"""),45166.66666666667)</f>
        <v>45166.66667</v>
      </c>
      <c r="B231" s="3">
        <f>IFERROR(__xludf.DUMMYFUNCTION("""COMPUTED_VALUE"""),242.58)</f>
        <v>242.58</v>
      </c>
      <c r="C231" s="3">
        <f>IFERROR(__xludf.DUMMYFUNCTION("""COMPUTED_VALUE"""),244.38)</f>
        <v>244.38</v>
      </c>
      <c r="D231" s="3">
        <f>IFERROR(__xludf.DUMMYFUNCTION("""COMPUTED_VALUE"""),235.35)</f>
        <v>235.35</v>
      </c>
      <c r="E231" s="3">
        <f>IFERROR(__xludf.DUMMYFUNCTION("""COMPUTED_VALUE"""),238.82)</f>
        <v>238.82</v>
      </c>
      <c r="F231" s="3">
        <f>IFERROR(__xludf.DUMMYFUNCTION("""COMPUTED_VALUE"""),1.07673727E8)</f>
        <v>107673727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>
        <f>IFERROR(__xludf.DUMMYFUNCTION("""COMPUTED_VALUE"""),45167.66666666667)</f>
        <v>45167.66667</v>
      </c>
      <c r="B232" s="3">
        <f>IFERROR(__xludf.DUMMYFUNCTION("""COMPUTED_VALUE"""),238.58)</f>
        <v>238.58</v>
      </c>
      <c r="C232" s="3">
        <f>IFERROR(__xludf.DUMMYFUNCTION("""COMPUTED_VALUE"""),257.48)</f>
        <v>257.48</v>
      </c>
      <c r="D232" s="3">
        <f>IFERROR(__xludf.DUMMYFUNCTION("""COMPUTED_VALUE"""),237.77)</f>
        <v>237.77</v>
      </c>
      <c r="E232" s="3">
        <f>IFERROR(__xludf.DUMMYFUNCTION("""COMPUTED_VALUE"""),257.18)</f>
        <v>257.18</v>
      </c>
      <c r="F232" s="3">
        <f>IFERROR(__xludf.DUMMYFUNCTION("""COMPUTED_VALUE"""),1.34047603E8)</f>
        <v>134047603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>
        <f>IFERROR(__xludf.DUMMYFUNCTION("""COMPUTED_VALUE"""),45168.66666666667)</f>
        <v>45168.66667</v>
      </c>
      <c r="B233" s="3">
        <f>IFERROR(__xludf.DUMMYFUNCTION("""COMPUTED_VALUE"""),254.2)</f>
        <v>254.2</v>
      </c>
      <c r="C233" s="3">
        <f>IFERROR(__xludf.DUMMYFUNCTION("""COMPUTED_VALUE"""),260.51)</f>
        <v>260.51</v>
      </c>
      <c r="D233" s="3">
        <f>IFERROR(__xludf.DUMMYFUNCTION("""COMPUTED_VALUE"""),250.59)</f>
        <v>250.59</v>
      </c>
      <c r="E233" s="3">
        <f>IFERROR(__xludf.DUMMYFUNCTION("""COMPUTED_VALUE"""),256.9)</f>
        <v>256.9</v>
      </c>
      <c r="F233" s="3">
        <f>IFERROR(__xludf.DUMMYFUNCTION("""COMPUTED_VALUE"""),1.21988437E8)</f>
        <v>121988437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>
        <f>IFERROR(__xludf.DUMMYFUNCTION("""COMPUTED_VALUE"""),45169.66666666667)</f>
        <v>45169.66667</v>
      </c>
      <c r="B234" s="3">
        <f>IFERROR(__xludf.DUMMYFUNCTION("""COMPUTED_VALUE"""),255.98)</f>
        <v>255.98</v>
      </c>
      <c r="C234" s="3">
        <f>IFERROR(__xludf.DUMMYFUNCTION("""COMPUTED_VALUE"""),261.18)</f>
        <v>261.18</v>
      </c>
      <c r="D234" s="3">
        <f>IFERROR(__xludf.DUMMYFUNCTION("""COMPUTED_VALUE"""),255.05)</f>
        <v>255.05</v>
      </c>
      <c r="E234" s="3">
        <f>IFERROR(__xludf.DUMMYFUNCTION("""COMPUTED_VALUE"""),258.08)</f>
        <v>258.08</v>
      </c>
      <c r="F234" s="3">
        <f>IFERROR(__xludf.DUMMYFUNCTION("""COMPUTED_VALUE"""),1.08861698E8)</f>
        <v>108861698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>
        <f>IFERROR(__xludf.DUMMYFUNCTION("""COMPUTED_VALUE"""),45170.66666666667)</f>
        <v>45170.66667</v>
      </c>
      <c r="B235" s="3">
        <f>IFERROR(__xludf.DUMMYFUNCTION("""COMPUTED_VALUE"""),257.26)</f>
        <v>257.26</v>
      </c>
      <c r="C235" s="3">
        <f>IFERROR(__xludf.DUMMYFUNCTION("""COMPUTED_VALUE"""),259.08)</f>
        <v>259.08</v>
      </c>
      <c r="D235" s="3">
        <f>IFERROR(__xludf.DUMMYFUNCTION("""COMPUTED_VALUE"""),242.01)</f>
        <v>242.01</v>
      </c>
      <c r="E235" s="3">
        <f>IFERROR(__xludf.DUMMYFUNCTION("""COMPUTED_VALUE"""),245.01)</f>
        <v>245.01</v>
      </c>
      <c r="F235" s="3">
        <f>IFERROR(__xludf.DUMMYFUNCTION("""COMPUTED_VALUE"""),1.3254164E8)</f>
        <v>132541640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>
        <f>IFERROR(__xludf.DUMMYFUNCTION("""COMPUTED_VALUE"""),45174.66666666667)</f>
        <v>45174.66667</v>
      </c>
      <c r="B236" s="3">
        <f>IFERROR(__xludf.DUMMYFUNCTION("""COMPUTED_VALUE"""),245.0)</f>
        <v>245</v>
      </c>
      <c r="C236" s="3">
        <f>IFERROR(__xludf.DUMMYFUNCTION("""COMPUTED_VALUE"""),258.0)</f>
        <v>258</v>
      </c>
      <c r="D236" s="3">
        <f>IFERROR(__xludf.DUMMYFUNCTION("""COMPUTED_VALUE"""),244.86)</f>
        <v>244.86</v>
      </c>
      <c r="E236" s="3">
        <f>IFERROR(__xludf.DUMMYFUNCTION("""COMPUTED_VALUE"""),256.49)</f>
        <v>256.49</v>
      </c>
      <c r="F236" s="3">
        <f>IFERROR(__xludf.DUMMYFUNCTION("""COMPUTED_VALUE"""),1.29469565E8)</f>
        <v>129469565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>
        <f>IFERROR(__xludf.DUMMYFUNCTION("""COMPUTED_VALUE"""),45175.66666666667)</f>
        <v>45175.66667</v>
      </c>
      <c r="B237" s="3">
        <f>IFERROR(__xludf.DUMMYFUNCTION("""COMPUTED_VALUE"""),255.14)</f>
        <v>255.14</v>
      </c>
      <c r="C237" s="3">
        <f>IFERROR(__xludf.DUMMYFUNCTION("""COMPUTED_VALUE"""),255.39)</f>
        <v>255.39</v>
      </c>
      <c r="D237" s="3">
        <f>IFERROR(__xludf.DUMMYFUNCTION("""COMPUTED_VALUE"""),245.06)</f>
        <v>245.06</v>
      </c>
      <c r="E237" s="3">
        <f>IFERROR(__xludf.DUMMYFUNCTION("""COMPUTED_VALUE"""),251.92)</f>
        <v>251.92</v>
      </c>
      <c r="F237" s="3">
        <f>IFERROR(__xludf.DUMMYFUNCTION("""COMPUTED_VALUE"""),1.16959759E8)</f>
        <v>116959759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>
        <f>IFERROR(__xludf.DUMMYFUNCTION("""COMPUTED_VALUE"""),45176.66666666667)</f>
        <v>45176.66667</v>
      </c>
      <c r="B238" s="3">
        <f>IFERROR(__xludf.DUMMYFUNCTION("""COMPUTED_VALUE"""),245.07)</f>
        <v>245.07</v>
      </c>
      <c r="C238" s="3">
        <f>IFERROR(__xludf.DUMMYFUNCTION("""COMPUTED_VALUE"""),252.81)</f>
        <v>252.81</v>
      </c>
      <c r="D238" s="3">
        <f>IFERROR(__xludf.DUMMYFUNCTION("""COMPUTED_VALUE"""),243.27)</f>
        <v>243.27</v>
      </c>
      <c r="E238" s="3">
        <f>IFERROR(__xludf.DUMMYFUNCTION("""COMPUTED_VALUE"""),251.49)</f>
        <v>251.49</v>
      </c>
      <c r="F238" s="3">
        <f>IFERROR(__xludf.DUMMYFUNCTION("""COMPUTED_VALUE"""),1.15312886E8)</f>
        <v>115312886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>
        <f>IFERROR(__xludf.DUMMYFUNCTION("""COMPUTED_VALUE"""),45177.66666666667)</f>
        <v>45177.66667</v>
      </c>
      <c r="B239" s="3">
        <f>IFERROR(__xludf.DUMMYFUNCTION("""COMPUTED_VALUE"""),251.22)</f>
        <v>251.22</v>
      </c>
      <c r="C239" s="3">
        <f>IFERROR(__xludf.DUMMYFUNCTION("""COMPUTED_VALUE"""),256.52)</f>
        <v>256.52</v>
      </c>
      <c r="D239" s="3">
        <f>IFERROR(__xludf.DUMMYFUNCTION("""COMPUTED_VALUE"""),246.67)</f>
        <v>246.67</v>
      </c>
      <c r="E239" s="3">
        <f>IFERROR(__xludf.DUMMYFUNCTION("""COMPUTED_VALUE"""),248.5)</f>
        <v>248.5</v>
      </c>
      <c r="F239" s="3">
        <f>IFERROR(__xludf.DUMMYFUNCTION("""COMPUTED_VALUE"""),1.18559635E8)</f>
        <v>118559635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>
        <f>IFERROR(__xludf.DUMMYFUNCTION("""COMPUTED_VALUE"""),45180.66666666667)</f>
        <v>45180.66667</v>
      </c>
      <c r="B240" s="3">
        <f>IFERROR(__xludf.DUMMYFUNCTION("""COMPUTED_VALUE"""),264.27)</f>
        <v>264.27</v>
      </c>
      <c r="C240" s="3">
        <f>IFERROR(__xludf.DUMMYFUNCTION("""COMPUTED_VALUE"""),274.85)</f>
        <v>274.85</v>
      </c>
      <c r="D240" s="3">
        <f>IFERROR(__xludf.DUMMYFUNCTION("""COMPUTED_VALUE"""),260.61)</f>
        <v>260.61</v>
      </c>
      <c r="E240" s="3">
        <f>IFERROR(__xludf.DUMMYFUNCTION("""COMPUTED_VALUE"""),273.58)</f>
        <v>273.58</v>
      </c>
      <c r="F240" s="3">
        <f>IFERROR(__xludf.DUMMYFUNCTION("""COMPUTED_VALUE"""),1.74667852E8)</f>
        <v>174667852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>
        <f>IFERROR(__xludf.DUMMYFUNCTION("""COMPUTED_VALUE"""),45181.66666666667)</f>
        <v>45181.66667</v>
      </c>
      <c r="B241" s="3">
        <f>IFERROR(__xludf.DUMMYFUNCTION("""COMPUTED_VALUE"""),270.76)</f>
        <v>270.76</v>
      </c>
      <c r="C241" s="3">
        <f>IFERROR(__xludf.DUMMYFUNCTION("""COMPUTED_VALUE"""),278.39)</f>
        <v>278.39</v>
      </c>
      <c r="D241" s="3">
        <f>IFERROR(__xludf.DUMMYFUNCTION("""COMPUTED_VALUE"""),266.6)</f>
        <v>266.6</v>
      </c>
      <c r="E241" s="3">
        <f>IFERROR(__xludf.DUMMYFUNCTION("""COMPUTED_VALUE"""),267.48)</f>
        <v>267.48</v>
      </c>
      <c r="F241" s="3">
        <f>IFERROR(__xludf.DUMMYFUNCTION("""COMPUTED_VALUE"""),1.35999866E8)</f>
        <v>135999866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>
        <f>IFERROR(__xludf.DUMMYFUNCTION("""COMPUTED_VALUE"""),45182.66666666667)</f>
        <v>45182.66667</v>
      </c>
      <c r="B242" s="3">
        <f>IFERROR(__xludf.DUMMYFUNCTION("""COMPUTED_VALUE"""),270.07)</f>
        <v>270.07</v>
      </c>
      <c r="C242" s="3">
        <f>IFERROR(__xludf.DUMMYFUNCTION("""COMPUTED_VALUE"""),274.98)</f>
        <v>274.98</v>
      </c>
      <c r="D242" s="3">
        <f>IFERROR(__xludf.DUMMYFUNCTION("""COMPUTED_VALUE"""),268.1)</f>
        <v>268.1</v>
      </c>
      <c r="E242" s="3">
        <f>IFERROR(__xludf.DUMMYFUNCTION("""COMPUTED_VALUE"""),271.3)</f>
        <v>271.3</v>
      </c>
      <c r="F242" s="3">
        <f>IFERROR(__xludf.DUMMYFUNCTION("""COMPUTED_VALUE"""),1.11673737E8)</f>
        <v>111673737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>
        <f>IFERROR(__xludf.DUMMYFUNCTION("""COMPUTED_VALUE"""),45183.66666666667)</f>
        <v>45183.66667</v>
      </c>
      <c r="B243" s="3">
        <f>IFERROR(__xludf.DUMMYFUNCTION("""COMPUTED_VALUE"""),271.32)</f>
        <v>271.32</v>
      </c>
      <c r="C243" s="3">
        <f>IFERROR(__xludf.DUMMYFUNCTION("""COMPUTED_VALUE"""),276.71)</f>
        <v>276.71</v>
      </c>
      <c r="D243" s="3">
        <f>IFERROR(__xludf.DUMMYFUNCTION("""COMPUTED_VALUE"""),270.42)</f>
        <v>270.42</v>
      </c>
      <c r="E243" s="3">
        <f>IFERROR(__xludf.DUMMYFUNCTION("""COMPUTED_VALUE"""),276.04)</f>
        <v>276.04</v>
      </c>
      <c r="F243" s="3">
        <f>IFERROR(__xludf.DUMMYFUNCTION("""COMPUTED_VALUE"""),1.07709842E8)</f>
        <v>107709842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>
        <f>IFERROR(__xludf.DUMMYFUNCTION("""COMPUTED_VALUE"""),45184.66666666667)</f>
        <v>45184.66667</v>
      </c>
      <c r="B244" s="3">
        <f>IFERROR(__xludf.DUMMYFUNCTION("""COMPUTED_VALUE"""),277.55)</f>
        <v>277.55</v>
      </c>
      <c r="C244" s="3">
        <f>IFERROR(__xludf.DUMMYFUNCTION("""COMPUTED_VALUE"""),278.98)</f>
        <v>278.98</v>
      </c>
      <c r="D244" s="3">
        <f>IFERROR(__xludf.DUMMYFUNCTION("""COMPUTED_VALUE"""),271.0)</f>
        <v>271</v>
      </c>
      <c r="E244" s="3">
        <f>IFERROR(__xludf.DUMMYFUNCTION("""COMPUTED_VALUE"""),274.39)</f>
        <v>274.39</v>
      </c>
      <c r="F244" s="3">
        <f>IFERROR(__xludf.DUMMYFUNCTION("""COMPUTED_VALUE"""),1.33692313E8)</f>
        <v>133692313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>
        <f>IFERROR(__xludf.DUMMYFUNCTION("""COMPUTED_VALUE"""),45187.66666666667)</f>
        <v>45187.66667</v>
      </c>
      <c r="B245" s="3">
        <f>IFERROR(__xludf.DUMMYFUNCTION("""COMPUTED_VALUE"""),271.16)</f>
        <v>271.16</v>
      </c>
      <c r="C245" s="3">
        <f>IFERROR(__xludf.DUMMYFUNCTION("""COMPUTED_VALUE"""),271.44)</f>
        <v>271.44</v>
      </c>
      <c r="D245" s="3">
        <f>IFERROR(__xludf.DUMMYFUNCTION("""COMPUTED_VALUE"""),263.76)</f>
        <v>263.76</v>
      </c>
      <c r="E245" s="3">
        <f>IFERROR(__xludf.DUMMYFUNCTION("""COMPUTED_VALUE"""),265.28)</f>
        <v>265.28</v>
      </c>
      <c r="F245" s="3">
        <f>IFERROR(__xludf.DUMMYFUNCTION("""COMPUTED_VALUE"""),1.01543305E8)</f>
        <v>101543305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>
        <f>IFERROR(__xludf.DUMMYFUNCTION("""COMPUTED_VALUE"""),45188.66666666667)</f>
        <v>45188.66667</v>
      </c>
      <c r="B246" s="3">
        <f>IFERROR(__xludf.DUMMYFUNCTION("""COMPUTED_VALUE"""),264.35)</f>
        <v>264.35</v>
      </c>
      <c r="C246" s="3">
        <f>IFERROR(__xludf.DUMMYFUNCTION("""COMPUTED_VALUE"""),267.85)</f>
        <v>267.85</v>
      </c>
      <c r="D246" s="3">
        <f>IFERROR(__xludf.DUMMYFUNCTION("""COMPUTED_VALUE"""),261.2)</f>
        <v>261.2</v>
      </c>
      <c r="E246" s="3">
        <f>IFERROR(__xludf.DUMMYFUNCTION("""COMPUTED_VALUE"""),266.5)</f>
        <v>266.5</v>
      </c>
      <c r="F246" s="3">
        <f>IFERROR(__xludf.DUMMYFUNCTION("""COMPUTED_VALUE"""),1.0370404E8)</f>
        <v>103704040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>
        <f>IFERROR(__xludf.DUMMYFUNCTION("""COMPUTED_VALUE"""),45189.66666666667)</f>
        <v>45189.66667</v>
      </c>
      <c r="B247" s="3">
        <f>IFERROR(__xludf.DUMMYFUNCTION("""COMPUTED_VALUE"""),267.04)</f>
        <v>267.04</v>
      </c>
      <c r="C247" s="3">
        <f>IFERROR(__xludf.DUMMYFUNCTION("""COMPUTED_VALUE"""),273.93)</f>
        <v>273.93</v>
      </c>
      <c r="D247" s="3">
        <f>IFERROR(__xludf.DUMMYFUNCTION("""COMPUTED_VALUE"""),262.46)</f>
        <v>262.46</v>
      </c>
      <c r="E247" s="3">
        <f>IFERROR(__xludf.DUMMYFUNCTION("""COMPUTED_VALUE"""),262.59)</f>
        <v>262.59</v>
      </c>
      <c r="F247" s="3">
        <f>IFERROR(__xludf.DUMMYFUNCTION("""COMPUTED_VALUE"""),1.22514643E8)</f>
        <v>122514643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>
        <f>IFERROR(__xludf.DUMMYFUNCTION("""COMPUTED_VALUE"""),45190.66666666667)</f>
        <v>45190.66667</v>
      </c>
      <c r="B248" s="3">
        <f>IFERROR(__xludf.DUMMYFUNCTION("""COMPUTED_VALUE"""),257.85)</f>
        <v>257.85</v>
      </c>
      <c r="C248" s="3">
        <f>IFERROR(__xludf.DUMMYFUNCTION("""COMPUTED_VALUE"""),260.86)</f>
        <v>260.86</v>
      </c>
      <c r="D248" s="3">
        <f>IFERROR(__xludf.DUMMYFUNCTION("""COMPUTED_VALUE"""),254.21)</f>
        <v>254.21</v>
      </c>
      <c r="E248" s="3">
        <f>IFERROR(__xludf.DUMMYFUNCTION("""COMPUTED_VALUE"""),255.7)</f>
        <v>255.7</v>
      </c>
      <c r="F248" s="3">
        <f>IFERROR(__xludf.DUMMYFUNCTION("""COMPUTED_VALUE"""),1.19951516E8)</f>
        <v>119951516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>
        <f>IFERROR(__xludf.DUMMYFUNCTION("""COMPUTED_VALUE"""),45191.66666666667)</f>
        <v>45191.66667</v>
      </c>
      <c r="B249" s="3">
        <f>IFERROR(__xludf.DUMMYFUNCTION("""COMPUTED_VALUE"""),257.4)</f>
        <v>257.4</v>
      </c>
      <c r="C249" s="3">
        <f>IFERROR(__xludf.DUMMYFUNCTION("""COMPUTED_VALUE"""),257.79)</f>
        <v>257.79</v>
      </c>
      <c r="D249" s="3">
        <f>IFERROR(__xludf.DUMMYFUNCTION("""COMPUTED_VALUE"""),244.48)</f>
        <v>244.48</v>
      </c>
      <c r="E249" s="3">
        <f>IFERROR(__xludf.DUMMYFUNCTION("""COMPUTED_VALUE"""),244.88)</f>
        <v>244.88</v>
      </c>
      <c r="F249" s="3">
        <f>IFERROR(__xludf.DUMMYFUNCTION("""COMPUTED_VALUE"""),1.27524083E8)</f>
        <v>127524083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>
        <f>IFERROR(__xludf.DUMMYFUNCTION("""COMPUTED_VALUE"""),45194.66666666667)</f>
        <v>45194.66667</v>
      </c>
      <c r="B250" s="3">
        <f>IFERROR(__xludf.DUMMYFUNCTION("""COMPUTED_VALUE"""),243.38)</f>
        <v>243.38</v>
      </c>
      <c r="C250" s="3">
        <f>IFERROR(__xludf.DUMMYFUNCTION("""COMPUTED_VALUE"""),247.1)</f>
        <v>247.1</v>
      </c>
      <c r="D250" s="3">
        <f>IFERROR(__xludf.DUMMYFUNCTION("""COMPUTED_VALUE"""),238.31)</f>
        <v>238.31</v>
      </c>
      <c r="E250" s="3">
        <f>IFERROR(__xludf.DUMMYFUNCTION("""COMPUTED_VALUE"""),246.99)</f>
        <v>246.99</v>
      </c>
      <c r="F250" s="3">
        <f>IFERROR(__xludf.DUMMYFUNCTION("""COMPUTED_VALUE"""),1.04636557E8)</f>
        <v>104636557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>
        <f>IFERROR(__xludf.DUMMYFUNCTION("""COMPUTED_VALUE"""),45195.66666666667)</f>
        <v>45195.66667</v>
      </c>
      <c r="B251" s="3">
        <f>IFERROR(__xludf.DUMMYFUNCTION("""COMPUTED_VALUE"""),242.98)</f>
        <v>242.98</v>
      </c>
      <c r="C251" s="3">
        <f>IFERROR(__xludf.DUMMYFUNCTION("""COMPUTED_VALUE"""),249.55)</f>
        <v>249.55</v>
      </c>
      <c r="D251" s="3">
        <f>IFERROR(__xludf.DUMMYFUNCTION("""COMPUTED_VALUE"""),241.66)</f>
        <v>241.66</v>
      </c>
      <c r="E251" s="3">
        <f>IFERROR(__xludf.DUMMYFUNCTION("""COMPUTED_VALUE"""),244.12)</f>
        <v>244.12</v>
      </c>
      <c r="F251" s="3">
        <f>IFERROR(__xludf.DUMMYFUNCTION("""COMPUTED_VALUE"""),1.01993631E8)</f>
        <v>101993631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>
        <f>IFERROR(__xludf.DUMMYFUNCTION("""COMPUTED_VALUE"""),45196.66666666667)</f>
        <v>45196.66667</v>
      </c>
      <c r="B252" s="3">
        <f>IFERROR(__xludf.DUMMYFUNCTION("""COMPUTED_VALUE"""),244.26)</f>
        <v>244.26</v>
      </c>
      <c r="C252" s="3">
        <f>IFERROR(__xludf.DUMMYFUNCTION("""COMPUTED_VALUE"""),245.33)</f>
        <v>245.33</v>
      </c>
      <c r="D252" s="3">
        <f>IFERROR(__xludf.DUMMYFUNCTION("""COMPUTED_VALUE"""),234.58)</f>
        <v>234.58</v>
      </c>
      <c r="E252" s="3">
        <f>IFERROR(__xludf.DUMMYFUNCTION("""COMPUTED_VALUE"""),240.5)</f>
        <v>240.5</v>
      </c>
      <c r="F252" s="3">
        <f>IFERROR(__xludf.DUMMYFUNCTION("""COMPUTED_VALUE"""),1.36597184E8)</f>
        <v>136597184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>
        <f>IFERROR(__xludf.DUMMYFUNCTION("""COMPUTED_VALUE"""),45197.66666666667)</f>
        <v>45197.66667</v>
      </c>
      <c r="B253" s="3">
        <f>IFERROR(__xludf.DUMMYFUNCTION("""COMPUTED_VALUE"""),240.02)</f>
        <v>240.02</v>
      </c>
      <c r="C253" s="3">
        <f>IFERROR(__xludf.DUMMYFUNCTION("""COMPUTED_VALUE"""),247.55)</f>
        <v>247.55</v>
      </c>
      <c r="D253" s="3">
        <f>IFERROR(__xludf.DUMMYFUNCTION("""COMPUTED_VALUE"""),238.65)</f>
        <v>238.65</v>
      </c>
      <c r="E253" s="3">
        <f>IFERROR(__xludf.DUMMYFUNCTION("""COMPUTED_VALUE"""),246.38)</f>
        <v>246.38</v>
      </c>
      <c r="F253" s="3">
        <f>IFERROR(__xludf.DUMMYFUNCTION("""COMPUTED_VALUE"""),1.1705887E8)</f>
        <v>117058870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>
        <f>IFERROR(__xludf.DUMMYFUNCTION("""COMPUTED_VALUE"""),45198.66666666667)</f>
        <v>45198.66667</v>
      </c>
      <c r="B254" s="3">
        <f>IFERROR(__xludf.DUMMYFUNCTION("""COMPUTED_VALUE"""),250.0)</f>
        <v>250</v>
      </c>
      <c r="C254" s="3">
        <f>IFERROR(__xludf.DUMMYFUNCTION("""COMPUTED_VALUE"""),254.77)</f>
        <v>254.77</v>
      </c>
      <c r="D254" s="3">
        <f>IFERROR(__xludf.DUMMYFUNCTION("""COMPUTED_VALUE"""),246.35)</f>
        <v>246.35</v>
      </c>
      <c r="E254" s="3">
        <f>IFERROR(__xludf.DUMMYFUNCTION("""COMPUTED_VALUE"""),250.22)</f>
        <v>250.22</v>
      </c>
      <c r="F254" s="3">
        <f>IFERROR(__xludf.DUMMYFUNCTION("""COMPUTED_VALUE"""),1.28522729E8)</f>
        <v>128522729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>
        <f>IFERROR(__xludf.DUMMYFUNCTION("""COMPUTED_VALUE"""),45201.66666666667)</f>
        <v>45201.66667</v>
      </c>
      <c r="B255" s="3">
        <f>IFERROR(__xludf.DUMMYFUNCTION("""COMPUTED_VALUE"""),244.81)</f>
        <v>244.81</v>
      </c>
      <c r="C255" s="3">
        <f>IFERROR(__xludf.DUMMYFUNCTION("""COMPUTED_VALUE"""),254.28)</f>
        <v>254.28</v>
      </c>
      <c r="D255" s="3">
        <f>IFERROR(__xludf.DUMMYFUNCTION("""COMPUTED_VALUE"""),242.62)</f>
        <v>242.62</v>
      </c>
      <c r="E255" s="3">
        <f>IFERROR(__xludf.DUMMYFUNCTION("""COMPUTED_VALUE"""),251.6)</f>
        <v>251.6</v>
      </c>
      <c r="F255" s="3">
        <f>IFERROR(__xludf.DUMMYFUNCTION("""COMPUTED_VALUE"""),1.23810402E8)</f>
        <v>123810402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>
        <f>IFERROR(__xludf.DUMMYFUNCTION("""COMPUTED_VALUE"""),45202.66666666667)</f>
        <v>45202.66667</v>
      </c>
      <c r="B256" s="3">
        <f>IFERROR(__xludf.DUMMYFUNCTION("""COMPUTED_VALUE"""),248.61)</f>
        <v>248.61</v>
      </c>
      <c r="C256" s="3">
        <f>IFERROR(__xludf.DUMMYFUNCTION("""COMPUTED_VALUE"""),250.02)</f>
        <v>250.02</v>
      </c>
      <c r="D256" s="3">
        <f>IFERROR(__xludf.DUMMYFUNCTION("""COMPUTED_VALUE"""),244.45)</f>
        <v>244.45</v>
      </c>
      <c r="E256" s="3">
        <f>IFERROR(__xludf.DUMMYFUNCTION("""COMPUTED_VALUE"""),246.53)</f>
        <v>246.53</v>
      </c>
      <c r="F256" s="3">
        <f>IFERROR(__xludf.DUMMYFUNCTION("""COMPUTED_VALUE"""),1.01985305E8)</f>
        <v>101985305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>
        <f>IFERROR(__xludf.DUMMYFUNCTION("""COMPUTED_VALUE"""),45203.66666666667)</f>
        <v>45203.66667</v>
      </c>
      <c r="B257" s="3">
        <f>IFERROR(__xludf.DUMMYFUNCTION("""COMPUTED_VALUE"""),248.14)</f>
        <v>248.14</v>
      </c>
      <c r="C257" s="3">
        <f>IFERROR(__xludf.DUMMYFUNCTION("""COMPUTED_VALUE"""),261.86)</f>
        <v>261.86</v>
      </c>
      <c r="D257" s="3">
        <f>IFERROR(__xludf.DUMMYFUNCTION("""COMPUTED_VALUE"""),247.6)</f>
        <v>247.6</v>
      </c>
      <c r="E257" s="3">
        <f>IFERROR(__xludf.DUMMYFUNCTION("""COMPUTED_VALUE"""),261.16)</f>
        <v>261.16</v>
      </c>
      <c r="F257" s="3">
        <f>IFERROR(__xludf.DUMMYFUNCTION("""COMPUTED_VALUE"""),1.29721567E8)</f>
        <v>129721567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>
        <f>IFERROR(__xludf.DUMMYFUNCTION("""COMPUTED_VALUE"""),45204.66666666667)</f>
        <v>45204.66667</v>
      </c>
      <c r="B258" s="3">
        <f>IFERROR(__xludf.DUMMYFUNCTION("""COMPUTED_VALUE"""),260.0)</f>
        <v>260</v>
      </c>
      <c r="C258" s="3">
        <f>IFERROR(__xludf.DUMMYFUNCTION("""COMPUTED_VALUE"""),263.6)</f>
        <v>263.6</v>
      </c>
      <c r="D258" s="3">
        <f>IFERROR(__xludf.DUMMYFUNCTION("""COMPUTED_VALUE"""),256.25)</f>
        <v>256.25</v>
      </c>
      <c r="E258" s="3">
        <f>IFERROR(__xludf.DUMMYFUNCTION("""COMPUTED_VALUE"""),260.05)</f>
        <v>260.05</v>
      </c>
      <c r="F258" s="3">
        <f>IFERROR(__xludf.DUMMYFUNCTION("""COMPUTED_VALUE"""),1.19159214E8)</f>
        <v>119159214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>
        <f>IFERROR(__xludf.DUMMYFUNCTION("""COMPUTED_VALUE"""),45205.66666666667)</f>
        <v>45205.66667</v>
      </c>
      <c r="B259" s="3">
        <f>IFERROR(__xludf.DUMMYFUNCTION("""COMPUTED_VALUE"""),253.98)</f>
        <v>253.98</v>
      </c>
      <c r="C259" s="3">
        <f>IFERROR(__xludf.DUMMYFUNCTION("""COMPUTED_VALUE"""),261.65)</f>
        <v>261.65</v>
      </c>
      <c r="D259" s="3">
        <f>IFERROR(__xludf.DUMMYFUNCTION("""COMPUTED_VALUE"""),250.65)</f>
        <v>250.65</v>
      </c>
      <c r="E259" s="3">
        <f>IFERROR(__xludf.DUMMYFUNCTION("""COMPUTED_VALUE"""),260.53)</f>
        <v>260.53</v>
      </c>
      <c r="F259" s="3">
        <f>IFERROR(__xludf.DUMMYFUNCTION("""COMPUTED_VALUE"""),1.18121812E8)</f>
        <v>118121812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>
        <f>IFERROR(__xludf.DUMMYFUNCTION("""COMPUTED_VALUE"""),45208.66666666667)</f>
        <v>45208.66667</v>
      </c>
      <c r="B260" s="3">
        <f>IFERROR(__xludf.DUMMYFUNCTION("""COMPUTED_VALUE"""),255.31)</f>
        <v>255.31</v>
      </c>
      <c r="C260" s="3">
        <f>IFERROR(__xludf.DUMMYFUNCTION("""COMPUTED_VALUE"""),261.36)</f>
        <v>261.36</v>
      </c>
      <c r="D260" s="3">
        <f>IFERROR(__xludf.DUMMYFUNCTION("""COMPUTED_VALUE"""),252.05)</f>
        <v>252.05</v>
      </c>
      <c r="E260" s="3">
        <f>IFERROR(__xludf.DUMMYFUNCTION("""COMPUTED_VALUE"""),259.67)</f>
        <v>259.67</v>
      </c>
      <c r="F260" s="3">
        <f>IFERROR(__xludf.DUMMYFUNCTION("""COMPUTED_VALUE"""),1.01377947E8)</f>
        <v>101377947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>
        <f>IFERROR(__xludf.DUMMYFUNCTION("""COMPUTED_VALUE"""),45209.66666666667)</f>
        <v>45209.66667</v>
      </c>
      <c r="B261" s="3">
        <f>IFERROR(__xludf.DUMMYFUNCTION("""COMPUTED_VALUE"""),257.75)</f>
        <v>257.75</v>
      </c>
      <c r="C261" s="3">
        <f>IFERROR(__xludf.DUMMYFUNCTION("""COMPUTED_VALUE"""),268.94)</f>
        <v>268.94</v>
      </c>
      <c r="D261" s="3">
        <f>IFERROR(__xludf.DUMMYFUNCTION("""COMPUTED_VALUE"""),257.65)</f>
        <v>257.65</v>
      </c>
      <c r="E261" s="3">
        <f>IFERROR(__xludf.DUMMYFUNCTION("""COMPUTED_VALUE"""),263.62)</f>
        <v>263.62</v>
      </c>
      <c r="F261" s="3">
        <f>IFERROR(__xludf.DUMMYFUNCTION("""COMPUTED_VALUE"""),1.2265603E8)</f>
        <v>122656030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>
        <f>IFERROR(__xludf.DUMMYFUNCTION("""COMPUTED_VALUE"""),45210.66666666667)</f>
        <v>45210.66667</v>
      </c>
      <c r="B262" s="3">
        <f>IFERROR(__xludf.DUMMYFUNCTION("""COMPUTED_VALUE"""),266.2)</f>
        <v>266.2</v>
      </c>
      <c r="C262" s="3">
        <f>IFERROR(__xludf.DUMMYFUNCTION("""COMPUTED_VALUE"""),268.6)</f>
        <v>268.6</v>
      </c>
      <c r="D262" s="3">
        <f>IFERROR(__xludf.DUMMYFUNCTION("""COMPUTED_VALUE"""),260.9)</f>
        <v>260.9</v>
      </c>
      <c r="E262" s="3">
        <f>IFERROR(__xludf.DUMMYFUNCTION("""COMPUTED_VALUE"""),262.99)</f>
        <v>262.99</v>
      </c>
      <c r="F262" s="3">
        <f>IFERROR(__xludf.DUMMYFUNCTION("""COMPUTED_VALUE"""),1.03706266E8)</f>
        <v>103706266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>
        <f>IFERROR(__xludf.DUMMYFUNCTION("""COMPUTED_VALUE"""),45211.66666666667)</f>
        <v>45211.66667</v>
      </c>
      <c r="B263" s="3">
        <f>IFERROR(__xludf.DUMMYFUNCTION("""COMPUTED_VALUE"""),262.92)</f>
        <v>262.92</v>
      </c>
      <c r="C263" s="3">
        <f>IFERROR(__xludf.DUMMYFUNCTION("""COMPUTED_VALUE"""),265.41)</f>
        <v>265.41</v>
      </c>
      <c r="D263" s="3">
        <f>IFERROR(__xludf.DUMMYFUNCTION("""COMPUTED_VALUE"""),256.63)</f>
        <v>256.63</v>
      </c>
      <c r="E263" s="3">
        <f>IFERROR(__xludf.DUMMYFUNCTION("""COMPUTED_VALUE"""),258.87)</f>
        <v>258.87</v>
      </c>
      <c r="F263" s="3">
        <f>IFERROR(__xludf.DUMMYFUNCTION("""COMPUTED_VALUE"""),1.11508114E8)</f>
        <v>111508114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>
        <f>IFERROR(__xludf.DUMMYFUNCTION("""COMPUTED_VALUE"""),45212.66666666667)</f>
        <v>45212.66667</v>
      </c>
      <c r="B264" s="3">
        <f>IFERROR(__xludf.DUMMYFUNCTION("""COMPUTED_VALUE"""),258.9)</f>
        <v>258.9</v>
      </c>
      <c r="C264" s="3">
        <f>IFERROR(__xludf.DUMMYFUNCTION("""COMPUTED_VALUE"""),259.6)</f>
        <v>259.6</v>
      </c>
      <c r="D264" s="3">
        <f>IFERROR(__xludf.DUMMYFUNCTION("""COMPUTED_VALUE"""),250.22)</f>
        <v>250.22</v>
      </c>
      <c r="E264" s="3">
        <f>IFERROR(__xludf.DUMMYFUNCTION("""COMPUTED_VALUE"""),251.12)</f>
        <v>251.12</v>
      </c>
      <c r="F264" s="3">
        <f>IFERROR(__xludf.DUMMYFUNCTION("""COMPUTED_VALUE"""),1.02296786E8)</f>
        <v>102296786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>
        <f>IFERROR(__xludf.DUMMYFUNCTION("""COMPUTED_VALUE"""),45215.66666666667)</f>
        <v>45215.66667</v>
      </c>
      <c r="B265" s="3">
        <f>IFERROR(__xludf.DUMMYFUNCTION("""COMPUTED_VALUE"""),250.05)</f>
        <v>250.05</v>
      </c>
      <c r="C265" s="3">
        <f>IFERROR(__xludf.DUMMYFUNCTION("""COMPUTED_VALUE"""),255.4)</f>
        <v>255.4</v>
      </c>
      <c r="D265" s="3">
        <f>IFERROR(__xludf.DUMMYFUNCTION("""COMPUTED_VALUE"""),248.48)</f>
        <v>248.48</v>
      </c>
      <c r="E265" s="3">
        <f>IFERROR(__xludf.DUMMYFUNCTION("""COMPUTED_VALUE"""),253.92)</f>
        <v>253.92</v>
      </c>
      <c r="F265" s="3">
        <f>IFERROR(__xludf.DUMMYFUNCTION("""COMPUTED_VALUE"""),8.8917176E7)</f>
        <v>88917176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>
        <f>IFERROR(__xludf.DUMMYFUNCTION("""COMPUTED_VALUE"""),45216.66666666667)</f>
        <v>45216.66667</v>
      </c>
      <c r="B266" s="3">
        <f>IFERROR(__xludf.DUMMYFUNCTION("""COMPUTED_VALUE"""),250.1)</f>
        <v>250.1</v>
      </c>
      <c r="C266" s="3">
        <f>IFERROR(__xludf.DUMMYFUNCTION("""COMPUTED_VALUE"""),257.18)</f>
        <v>257.18</v>
      </c>
      <c r="D266" s="3">
        <f>IFERROR(__xludf.DUMMYFUNCTION("""COMPUTED_VALUE"""),247.08)</f>
        <v>247.08</v>
      </c>
      <c r="E266" s="3">
        <f>IFERROR(__xludf.DUMMYFUNCTION("""COMPUTED_VALUE"""),254.85)</f>
        <v>254.85</v>
      </c>
      <c r="F266" s="3">
        <f>IFERROR(__xludf.DUMMYFUNCTION("""COMPUTED_VALUE"""),9.3562909E7)</f>
        <v>93562909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>
        <f>IFERROR(__xludf.DUMMYFUNCTION("""COMPUTED_VALUE"""),45217.66666666667)</f>
        <v>45217.66667</v>
      </c>
      <c r="B267" s="3">
        <f>IFERROR(__xludf.DUMMYFUNCTION("""COMPUTED_VALUE"""),252.7)</f>
        <v>252.7</v>
      </c>
      <c r="C267" s="3">
        <f>IFERROR(__xludf.DUMMYFUNCTION("""COMPUTED_VALUE"""),254.63)</f>
        <v>254.63</v>
      </c>
      <c r="D267" s="3">
        <f>IFERROR(__xludf.DUMMYFUNCTION("""COMPUTED_VALUE"""),242.08)</f>
        <v>242.08</v>
      </c>
      <c r="E267" s="3">
        <f>IFERROR(__xludf.DUMMYFUNCTION("""COMPUTED_VALUE"""),242.68)</f>
        <v>242.68</v>
      </c>
      <c r="F267" s="3">
        <f>IFERROR(__xludf.DUMMYFUNCTION("""COMPUTED_VALUE"""),1.25147846E8)</f>
        <v>125147846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>
        <f>IFERROR(__xludf.DUMMYFUNCTION("""COMPUTED_VALUE"""),45218.66666666667)</f>
        <v>45218.66667</v>
      </c>
      <c r="B268" s="3">
        <f>IFERROR(__xludf.DUMMYFUNCTION("""COMPUTED_VALUE"""),225.95)</f>
        <v>225.95</v>
      </c>
      <c r="C268" s="3">
        <f>IFERROR(__xludf.DUMMYFUNCTION("""COMPUTED_VALUE"""),230.61)</f>
        <v>230.61</v>
      </c>
      <c r="D268" s="3">
        <f>IFERROR(__xludf.DUMMYFUNCTION("""COMPUTED_VALUE"""),216.78)</f>
        <v>216.78</v>
      </c>
      <c r="E268" s="3">
        <f>IFERROR(__xludf.DUMMYFUNCTION("""COMPUTED_VALUE"""),220.11)</f>
        <v>220.11</v>
      </c>
      <c r="F268" s="3">
        <f>IFERROR(__xludf.DUMMYFUNCTION("""COMPUTED_VALUE"""),1.70772713E8)</f>
        <v>170772713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>
        <f>IFERROR(__xludf.DUMMYFUNCTION("""COMPUTED_VALUE"""),45219.66666666667)</f>
        <v>45219.66667</v>
      </c>
      <c r="B269" s="3">
        <f>IFERROR(__xludf.DUMMYFUNCTION("""COMPUTED_VALUE"""),217.01)</f>
        <v>217.01</v>
      </c>
      <c r="C269" s="3">
        <f>IFERROR(__xludf.DUMMYFUNCTION("""COMPUTED_VALUE"""),218.86)</f>
        <v>218.86</v>
      </c>
      <c r="D269" s="3">
        <f>IFERROR(__xludf.DUMMYFUNCTION("""COMPUTED_VALUE"""),210.42)</f>
        <v>210.42</v>
      </c>
      <c r="E269" s="3">
        <f>IFERROR(__xludf.DUMMYFUNCTION("""COMPUTED_VALUE"""),211.99)</f>
        <v>211.99</v>
      </c>
      <c r="F269" s="3">
        <f>IFERROR(__xludf.DUMMYFUNCTION("""COMPUTED_VALUE"""),1.38010095E8)</f>
        <v>138010095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>
        <f>IFERROR(__xludf.DUMMYFUNCTION("""COMPUTED_VALUE"""),45222.66666666667)</f>
        <v>45222.66667</v>
      </c>
      <c r="B270" s="3">
        <f>IFERROR(__xludf.DUMMYFUNCTION("""COMPUTED_VALUE"""),210.0)</f>
        <v>210</v>
      </c>
      <c r="C270" s="3">
        <f>IFERROR(__xludf.DUMMYFUNCTION("""COMPUTED_VALUE"""),216.98)</f>
        <v>216.98</v>
      </c>
      <c r="D270" s="3">
        <f>IFERROR(__xludf.DUMMYFUNCTION("""COMPUTED_VALUE"""),202.51)</f>
        <v>202.51</v>
      </c>
      <c r="E270" s="3">
        <f>IFERROR(__xludf.DUMMYFUNCTION("""COMPUTED_VALUE"""),212.08)</f>
        <v>212.08</v>
      </c>
      <c r="F270" s="3">
        <f>IFERROR(__xludf.DUMMYFUNCTION("""COMPUTED_VALUE"""),1.50683368E8)</f>
        <v>150683368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>
        <f>IFERROR(__xludf.DUMMYFUNCTION("""COMPUTED_VALUE"""),45223.66666666667)</f>
        <v>45223.66667</v>
      </c>
      <c r="B271" s="3">
        <f>IFERROR(__xludf.DUMMYFUNCTION("""COMPUTED_VALUE"""),216.5)</f>
        <v>216.5</v>
      </c>
      <c r="C271" s="3">
        <f>IFERROR(__xludf.DUMMYFUNCTION("""COMPUTED_VALUE"""),222.05)</f>
        <v>222.05</v>
      </c>
      <c r="D271" s="3">
        <f>IFERROR(__xludf.DUMMYFUNCTION("""COMPUTED_VALUE"""),214.11)</f>
        <v>214.11</v>
      </c>
      <c r="E271" s="3">
        <f>IFERROR(__xludf.DUMMYFUNCTION("""COMPUTED_VALUE"""),216.52)</f>
        <v>216.52</v>
      </c>
      <c r="F271" s="3">
        <f>IFERROR(__xludf.DUMMYFUNCTION("""COMPUTED_VALUE"""),1.18231113E8)</f>
        <v>118231113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>
        <f>IFERROR(__xludf.DUMMYFUNCTION("""COMPUTED_VALUE"""),45224.66666666667)</f>
        <v>45224.66667</v>
      </c>
      <c r="B272" s="3">
        <f>IFERROR(__xludf.DUMMYFUNCTION("""COMPUTED_VALUE"""),215.88)</f>
        <v>215.88</v>
      </c>
      <c r="C272" s="3">
        <f>IFERROR(__xludf.DUMMYFUNCTION("""COMPUTED_VALUE"""),220.1)</f>
        <v>220.1</v>
      </c>
      <c r="D272" s="3">
        <f>IFERROR(__xludf.DUMMYFUNCTION("""COMPUTED_VALUE"""),212.2)</f>
        <v>212.2</v>
      </c>
      <c r="E272" s="3">
        <f>IFERROR(__xludf.DUMMYFUNCTION("""COMPUTED_VALUE"""),212.42)</f>
        <v>212.42</v>
      </c>
      <c r="F272" s="3">
        <f>IFERROR(__xludf.DUMMYFUNCTION("""COMPUTED_VALUE"""),1.07065087E8)</f>
        <v>107065087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>
        <f>IFERROR(__xludf.DUMMYFUNCTION("""COMPUTED_VALUE"""),45225.66666666667)</f>
        <v>45225.66667</v>
      </c>
      <c r="B273" s="3">
        <f>IFERROR(__xludf.DUMMYFUNCTION("""COMPUTED_VALUE"""),211.32)</f>
        <v>211.32</v>
      </c>
      <c r="C273" s="3">
        <f>IFERROR(__xludf.DUMMYFUNCTION("""COMPUTED_VALUE"""),214.8)</f>
        <v>214.8</v>
      </c>
      <c r="D273" s="3">
        <f>IFERROR(__xludf.DUMMYFUNCTION("""COMPUTED_VALUE"""),204.88)</f>
        <v>204.88</v>
      </c>
      <c r="E273" s="3">
        <f>IFERROR(__xludf.DUMMYFUNCTION("""COMPUTED_VALUE"""),205.76)</f>
        <v>205.76</v>
      </c>
      <c r="F273" s="3">
        <f>IFERROR(__xludf.DUMMYFUNCTION("""COMPUTED_VALUE"""),1.15112635E8)</f>
        <v>115112635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>
        <f>IFERROR(__xludf.DUMMYFUNCTION("""COMPUTED_VALUE"""),45226.66666666667)</f>
        <v>45226.66667</v>
      </c>
      <c r="B274" s="3">
        <f>IFERROR(__xludf.DUMMYFUNCTION("""COMPUTED_VALUE"""),210.6)</f>
        <v>210.6</v>
      </c>
      <c r="C274" s="3">
        <f>IFERROR(__xludf.DUMMYFUNCTION("""COMPUTED_VALUE"""),212.41)</f>
        <v>212.41</v>
      </c>
      <c r="D274" s="3">
        <f>IFERROR(__xludf.DUMMYFUNCTION("""COMPUTED_VALUE"""),205.77)</f>
        <v>205.77</v>
      </c>
      <c r="E274" s="3">
        <f>IFERROR(__xludf.DUMMYFUNCTION("""COMPUTED_VALUE"""),207.3)</f>
        <v>207.3</v>
      </c>
      <c r="F274" s="3">
        <f>IFERROR(__xludf.DUMMYFUNCTION("""COMPUTED_VALUE"""),9.4881173E7)</f>
        <v>94881173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>
        <f>IFERROR(__xludf.DUMMYFUNCTION("""COMPUTED_VALUE"""),45229.66666666667)</f>
        <v>45229.66667</v>
      </c>
      <c r="B275" s="3">
        <f>IFERROR(__xludf.DUMMYFUNCTION("""COMPUTED_VALUE"""),209.28)</f>
        <v>209.28</v>
      </c>
      <c r="C275" s="3">
        <f>IFERROR(__xludf.DUMMYFUNCTION("""COMPUTED_VALUE"""),210.88)</f>
        <v>210.88</v>
      </c>
      <c r="D275" s="3">
        <f>IFERROR(__xludf.DUMMYFUNCTION("""COMPUTED_VALUE"""),194.67)</f>
        <v>194.67</v>
      </c>
      <c r="E275" s="3">
        <f>IFERROR(__xludf.DUMMYFUNCTION("""COMPUTED_VALUE"""),197.36)</f>
        <v>197.36</v>
      </c>
      <c r="F275" s="3">
        <f>IFERROR(__xludf.DUMMYFUNCTION("""COMPUTED_VALUE"""),1.36448167E8)</f>
        <v>136448167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>
        <f>IFERROR(__xludf.DUMMYFUNCTION("""COMPUTED_VALUE"""),45230.66666666667)</f>
        <v>45230.66667</v>
      </c>
      <c r="B276" s="3">
        <f>IFERROR(__xludf.DUMMYFUNCTION("""COMPUTED_VALUE"""),196.12)</f>
        <v>196.12</v>
      </c>
      <c r="C276" s="3">
        <f>IFERROR(__xludf.DUMMYFUNCTION("""COMPUTED_VALUE"""),202.8)</f>
        <v>202.8</v>
      </c>
      <c r="D276" s="3">
        <f>IFERROR(__xludf.DUMMYFUNCTION("""COMPUTED_VALUE"""),194.07)</f>
        <v>194.07</v>
      </c>
      <c r="E276" s="3">
        <f>IFERROR(__xludf.DUMMYFUNCTION("""COMPUTED_VALUE"""),200.84)</f>
        <v>200.84</v>
      </c>
      <c r="F276" s="3">
        <f>IFERROR(__xludf.DUMMYFUNCTION("""COMPUTED_VALUE"""),1.18068273E8)</f>
        <v>118068273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>
        <f>IFERROR(__xludf.DUMMYFUNCTION("""COMPUTED_VALUE"""),45231.66666666667)</f>
        <v>45231.66667</v>
      </c>
      <c r="B277" s="3">
        <f>IFERROR(__xludf.DUMMYFUNCTION("""COMPUTED_VALUE"""),204.04)</f>
        <v>204.04</v>
      </c>
      <c r="C277" s="3">
        <f>IFERROR(__xludf.DUMMYFUNCTION("""COMPUTED_VALUE"""),205.99)</f>
        <v>205.99</v>
      </c>
      <c r="D277" s="3">
        <f>IFERROR(__xludf.DUMMYFUNCTION("""COMPUTED_VALUE"""),197.85)</f>
        <v>197.85</v>
      </c>
      <c r="E277" s="3">
        <f>IFERROR(__xludf.DUMMYFUNCTION("""COMPUTED_VALUE"""),205.66)</f>
        <v>205.66</v>
      </c>
      <c r="F277" s="3">
        <f>IFERROR(__xludf.DUMMYFUNCTION("""COMPUTED_VALUE"""),1.21661656E8)</f>
        <v>121661656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>
        <f>IFERROR(__xludf.DUMMYFUNCTION("""COMPUTED_VALUE"""),45232.66666666667)</f>
        <v>45232.66667</v>
      </c>
      <c r="B278" s="3">
        <f>IFERROR(__xludf.DUMMYFUNCTION("""COMPUTED_VALUE"""),212.97)</f>
        <v>212.97</v>
      </c>
      <c r="C278" s="3">
        <f>IFERROR(__xludf.DUMMYFUNCTION("""COMPUTED_VALUE"""),219.2)</f>
        <v>219.2</v>
      </c>
      <c r="D278" s="3">
        <f>IFERROR(__xludf.DUMMYFUNCTION("""COMPUTED_VALUE"""),211.45)</f>
        <v>211.45</v>
      </c>
      <c r="E278" s="3">
        <f>IFERROR(__xludf.DUMMYFUNCTION("""COMPUTED_VALUE"""),218.51)</f>
        <v>218.51</v>
      </c>
      <c r="F278" s="3">
        <f>IFERROR(__xludf.DUMMYFUNCTION("""COMPUTED_VALUE"""),1.25987621E8)</f>
        <v>125987621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>
        <f>IFERROR(__xludf.DUMMYFUNCTION("""COMPUTED_VALUE"""),45233.66666666667)</f>
        <v>45233.66667</v>
      </c>
      <c r="B279" s="3">
        <f>IFERROR(__xludf.DUMMYFUNCTION("""COMPUTED_VALUE"""),221.15)</f>
        <v>221.15</v>
      </c>
      <c r="C279" s="3">
        <f>IFERROR(__xludf.DUMMYFUNCTION("""COMPUTED_VALUE"""),226.37)</f>
        <v>226.37</v>
      </c>
      <c r="D279" s="3">
        <f>IFERROR(__xludf.DUMMYFUNCTION("""COMPUTED_VALUE"""),218.4)</f>
        <v>218.4</v>
      </c>
      <c r="E279" s="3">
        <f>IFERROR(__xludf.DUMMYFUNCTION("""COMPUTED_VALUE"""),219.96)</f>
        <v>219.96</v>
      </c>
      <c r="F279" s="3">
        <f>IFERROR(__xludf.DUMMYFUNCTION("""COMPUTED_VALUE"""),1.1953479E8)</f>
        <v>119534790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>
        <f>IFERROR(__xludf.DUMMYFUNCTION("""COMPUTED_VALUE"""),45236.66666666667)</f>
        <v>45236.66667</v>
      </c>
      <c r="B280" s="3">
        <f>IFERROR(__xludf.DUMMYFUNCTION("""COMPUTED_VALUE"""),223.98)</f>
        <v>223.98</v>
      </c>
      <c r="C280" s="3">
        <f>IFERROR(__xludf.DUMMYFUNCTION("""COMPUTED_VALUE"""),226.32)</f>
        <v>226.32</v>
      </c>
      <c r="D280" s="3">
        <f>IFERROR(__xludf.DUMMYFUNCTION("""COMPUTED_VALUE"""),215.0)</f>
        <v>215</v>
      </c>
      <c r="E280" s="3">
        <f>IFERROR(__xludf.DUMMYFUNCTION("""COMPUTED_VALUE"""),219.27)</f>
        <v>219.27</v>
      </c>
      <c r="F280" s="3">
        <f>IFERROR(__xludf.DUMMYFUNCTION("""COMPUTED_VALUE"""),1.1733582E8)</f>
        <v>117335820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>
        <f>IFERROR(__xludf.DUMMYFUNCTION("""COMPUTED_VALUE"""),45237.66666666667)</f>
        <v>45237.66667</v>
      </c>
      <c r="B281" s="3">
        <f>IFERROR(__xludf.DUMMYFUNCTION("""COMPUTED_VALUE"""),219.98)</f>
        <v>219.98</v>
      </c>
      <c r="C281" s="3">
        <f>IFERROR(__xludf.DUMMYFUNCTION("""COMPUTED_VALUE"""),223.12)</f>
        <v>223.12</v>
      </c>
      <c r="D281" s="3">
        <f>IFERROR(__xludf.DUMMYFUNCTION("""COMPUTED_VALUE"""),215.72)</f>
        <v>215.72</v>
      </c>
      <c r="E281" s="3">
        <f>IFERROR(__xludf.DUMMYFUNCTION("""COMPUTED_VALUE"""),222.18)</f>
        <v>222.18</v>
      </c>
      <c r="F281" s="3">
        <f>IFERROR(__xludf.DUMMYFUNCTION("""COMPUTED_VALUE"""),1.1690013E8)</f>
        <v>116900130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>
        <f>IFERROR(__xludf.DUMMYFUNCTION("""COMPUTED_VALUE"""),45238.66666666667)</f>
        <v>45238.66667</v>
      </c>
      <c r="B282" s="3">
        <f>IFERROR(__xludf.DUMMYFUNCTION("""COMPUTED_VALUE"""),223.15)</f>
        <v>223.15</v>
      </c>
      <c r="C282" s="3">
        <f>IFERROR(__xludf.DUMMYFUNCTION("""COMPUTED_VALUE"""),224.15)</f>
        <v>224.15</v>
      </c>
      <c r="D282" s="3">
        <f>IFERROR(__xludf.DUMMYFUNCTION("""COMPUTED_VALUE"""),217.64)</f>
        <v>217.64</v>
      </c>
      <c r="E282" s="3">
        <f>IFERROR(__xludf.DUMMYFUNCTION("""COMPUTED_VALUE"""),222.11)</f>
        <v>222.11</v>
      </c>
      <c r="F282" s="3">
        <f>IFERROR(__xludf.DUMMYFUNCTION("""COMPUTED_VALUE"""),1.06584841E8)</f>
        <v>106584841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>
        <f>IFERROR(__xludf.DUMMYFUNCTION("""COMPUTED_VALUE"""),45239.66666666667)</f>
        <v>45239.66667</v>
      </c>
      <c r="B283" s="3">
        <f>IFERROR(__xludf.DUMMYFUNCTION("""COMPUTED_VALUE"""),219.75)</f>
        <v>219.75</v>
      </c>
      <c r="C283" s="3">
        <f>IFERROR(__xludf.DUMMYFUNCTION("""COMPUTED_VALUE"""),220.8)</f>
        <v>220.8</v>
      </c>
      <c r="D283" s="3">
        <f>IFERROR(__xludf.DUMMYFUNCTION("""COMPUTED_VALUE"""),206.68)</f>
        <v>206.68</v>
      </c>
      <c r="E283" s="3">
        <f>IFERROR(__xludf.DUMMYFUNCTION("""COMPUTED_VALUE"""),209.98)</f>
        <v>209.98</v>
      </c>
      <c r="F283" s="3">
        <f>IFERROR(__xludf.DUMMYFUNCTION("""COMPUTED_VALUE"""),1.42110454E8)</f>
        <v>142110454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>
        <f>IFERROR(__xludf.DUMMYFUNCTION("""COMPUTED_VALUE"""),45240.66666666667)</f>
        <v>45240.66667</v>
      </c>
      <c r="B284" s="3">
        <f>IFERROR(__xludf.DUMMYFUNCTION("""COMPUTED_VALUE"""),210.03)</f>
        <v>210.03</v>
      </c>
      <c r="C284" s="3">
        <f>IFERROR(__xludf.DUMMYFUNCTION("""COMPUTED_VALUE"""),215.38)</f>
        <v>215.38</v>
      </c>
      <c r="D284" s="3">
        <f>IFERROR(__xludf.DUMMYFUNCTION("""COMPUTED_VALUE"""),205.69)</f>
        <v>205.69</v>
      </c>
      <c r="E284" s="3">
        <f>IFERROR(__xludf.DUMMYFUNCTION("""COMPUTED_VALUE"""),214.65)</f>
        <v>214.65</v>
      </c>
      <c r="F284" s="3">
        <f>IFERROR(__xludf.DUMMYFUNCTION("""COMPUTED_VALUE"""),1.31310128E8)</f>
        <v>131310128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>
        <f>IFERROR(__xludf.DUMMYFUNCTION("""COMPUTED_VALUE"""),45243.66666666667)</f>
        <v>45243.66667</v>
      </c>
      <c r="B285" s="3">
        <f>IFERROR(__xludf.DUMMYFUNCTION("""COMPUTED_VALUE"""),215.6)</f>
        <v>215.6</v>
      </c>
      <c r="C285" s="3">
        <f>IFERROR(__xludf.DUMMYFUNCTION("""COMPUTED_VALUE"""),225.4)</f>
        <v>225.4</v>
      </c>
      <c r="D285" s="3">
        <f>IFERROR(__xludf.DUMMYFUNCTION("""COMPUTED_VALUE"""),211.61)</f>
        <v>211.61</v>
      </c>
      <c r="E285" s="3">
        <f>IFERROR(__xludf.DUMMYFUNCTION("""COMPUTED_VALUE"""),223.71)</f>
        <v>223.71</v>
      </c>
      <c r="F285" s="3">
        <f>IFERROR(__xludf.DUMMYFUNCTION("""COMPUTED_VALUE"""),1.40447569E8)</f>
        <v>140447569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>
        <f>IFERROR(__xludf.DUMMYFUNCTION("""COMPUTED_VALUE"""),45244.66666666667)</f>
        <v>45244.66667</v>
      </c>
      <c r="B286" s="3">
        <f>IFERROR(__xludf.DUMMYFUNCTION("""COMPUTED_VALUE"""),235.03)</f>
        <v>235.03</v>
      </c>
      <c r="C286" s="3">
        <f>IFERROR(__xludf.DUMMYFUNCTION("""COMPUTED_VALUE"""),238.14)</f>
        <v>238.14</v>
      </c>
      <c r="D286" s="3">
        <f>IFERROR(__xludf.DUMMYFUNCTION("""COMPUTED_VALUE"""),230.72)</f>
        <v>230.72</v>
      </c>
      <c r="E286" s="3">
        <f>IFERROR(__xludf.DUMMYFUNCTION("""COMPUTED_VALUE"""),237.41)</f>
        <v>237.41</v>
      </c>
      <c r="F286" s="3">
        <f>IFERROR(__xludf.DUMMYFUNCTION("""COMPUTED_VALUE"""),1.49771642E8)</f>
        <v>149771642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>
        <f>IFERROR(__xludf.DUMMYFUNCTION("""COMPUTED_VALUE"""),45245.66666666667)</f>
        <v>45245.66667</v>
      </c>
      <c r="B287" s="3">
        <f>IFERROR(__xludf.DUMMYFUNCTION("""COMPUTED_VALUE"""),239.29)</f>
        <v>239.29</v>
      </c>
      <c r="C287" s="3">
        <f>IFERROR(__xludf.DUMMYFUNCTION("""COMPUTED_VALUE"""),246.7)</f>
        <v>246.7</v>
      </c>
      <c r="D287" s="3">
        <f>IFERROR(__xludf.DUMMYFUNCTION("""COMPUTED_VALUE"""),236.45)</f>
        <v>236.45</v>
      </c>
      <c r="E287" s="3">
        <f>IFERROR(__xludf.DUMMYFUNCTION("""COMPUTED_VALUE"""),242.84)</f>
        <v>242.84</v>
      </c>
      <c r="F287" s="3">
        <f>IFERROR(__xludf.DUMMYFUNCTION("""COMPUTED_VALUE"""),1.50353975E8)</f>
        <v>150353975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>
        <f>IFERROR(__xludf.DUMMYFUNCTION("""COMPUTED_VALUE"""),45246.66666666667)</f>
        <v>45246.66667</v>
      </c>
      <c r="B288" s="3">
        <f>IFERROR(__xludf.DUMMYFUNCTION("""COMPUTED_VALUE"""),239.49)</f>
        <v>239.49</v>
      </c>
      <c r="C288" s="3">
        <f>IFERROR(__xludf.DUMMYFUNCTION("""COMPUTED_VALUE"""),240.88)</f>
        <v>240.88</v>
      </c>
      <c r="D288" s="3">
        <f>IFERROR(__xludf.DUMMYFUNCTION("""COMPUTED_VALUE"""),230.96)</f>
        <v>230.96</v>
      </c>
      <c r="E288" s="3">
        <f>IFERROR(__xludf.DUMMYFUNCTION("""COMPUTED_VALUE"""),233.59)</f>
        <v>233.59</v>
      </c>
      <c r="F288" s="3">
        <f>IFERROR(__xludf.DUMMYFUNCTION("""COMPUTED_VALUE"""),1.36816819E8)</f>
        <v>136816819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>
        <f>IFERROR(__xludf.DUMMYFUNCTION("""COMPUTED_VALUE"""),45247.66666666667)</f>
        <v>45247.66667</v>
      </c>
      <c r="B289" s="3">
        <f>IFERROR(__xludf.DUMMYFUNCTION("""COMPUTED_VALUE"""),232.0)</f>
        <v>232</v>
      </c>
      <c r="C289" s="3">
        <f>IFERROR(__xludf.DUMMYFUNCTION("""COMPUTED_VALUE"""),237.39)</f>
        <v>237.39</v>
      </c>
      <c r="D289" s="3">
        <f>IFERROR(__xludf.DUMMYFUNCTION("""COMPUTED_VALUE"""),226.54)</f>
        <v>226.54</v>
      </c>
      <c r="E289" s="3">
        <f>IFERROR(__xludf.DUMMYFUNCTION("""COMPUTED_VALUE"""),234.3)</f>
        <v>234.3</v>
      </c>
      <c r="F289" s="3">
        <f>IFERROR(__xludf.DUMMYFUNCTION("""COMPUTED_VALUE"""),1.42766234E8)</f>
        <v>142766234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>
        <f>IFERROR(__xludf.DUMMYFUNCTION("""COMPUTED_VALUE"""),45250.66666666667)</f>
        <v>45250.66667</v>
      </c>
      <c r="B290" s="3">
        <f>IFERROR(__xludf.DUMMYFUNCTION("""COMPUTED_VALUE"""),234.04)</f>
        <v>234.04</v>
      </c>
      <c r="C290" s="3">
        <f>IFERROR(__xludf.DUMMYFUNCTION("""COMPUTED_VALUE"""),237.1)</f>
        <v>237.1</v>
      </c>
      <c r="D290" s="3">
        <f>IFERROR(__xludf.DUMMYFUNCTION("""COMPUTED_VALUE"""),231.02)</f>
        <v>231.02</v>
      </c>
      <c r="E290" s="3">
        <f>IFERROR(__xludf.DUMMYFUNCTION("""COMPUTED_VALUE"""),235.6)</f>
        <v>235.6</v>
      </c>
      <c r="F290" s="3">
        <f>IFERROR(__xludf.DUMMYFUNCTION("""COMPUTED_VALUE"""),1.16562402E8)</f>
        <v>116562402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>
        <f>IFERROR(__xludf.DUMMYFUNCTION("""COMPUTED_VALUE"""),45251.66666666667)</f>
        <v>45251.66667</v>
      </c>
      <c r="B291" s="3">
        <f>IFERROR(__xludf.DUMMYFUNCTION("""COMPUTED_VALUE"""),235.04)</f>
        <v>235.04</v>
      </c>
      <c r="C291" s="3">
        <f>IFERROR(__xludf.DUMMYFUNCTION("""COMPUTED_VALUE"""),243.62)</f>
        <v>243.62</v>
      </c>
      <c r="D291" s="3">
        <f>IFERROR(__xludf.DUMMYFUNCTION("""COMPUTED_VALUE"""),233.34)</f>
        <v>233.34</v>
      </c>
      <c r="E291" s="3">
        <f>IFERROR(__xludf.DUMMYFUNCTION("""COMPUTED_VALUE"""),241.2)</f>
        <v>241.2</v>
      </c>
      <c r="F291" s="3">
        <f>IFERROR(__xludf.DUMMYFUNCTION("""COMPUTED_VALUE"""),1.22288E8)</f>
        <v>122288000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>
        <f>IFERROR(__xludf.DUMMYFUNCTION("""COMPUTED_VALUE"""),45252.66666666667)</f>
        <v>45252.66667</v>
      </c>
      <c r="B292" s="3">
        <f>IFERROR(__xludf.DUMMYFUNCTION("""COMPUTED_VALUE"""),242.04)</f>
        <v>242.04</v>
      </c>
      <c r="C292" s="3">
        <f>IFERROR(__xludf.DUMMYFUNCTION("""COMPUTED_VALUE"""),244.01)</f>
        <v>244.01</v>
      </c>
      <c r="D292" s="3">
        <f>IFERROR(__xludf.DUMMYFUNCTION("""COMPUTED_VALUE"""),231.4)</f>
        <v>231.4</v>
      </c>
      <c r="E292" s="3">
        <f>IFERROR(__xludf.DUMMYFUNCTION("""COMPUTED_VALUE"""),234.21)</f>
        <v>234.21</v>
      </c>
      <c r="F292" s="3">
        <f>IFERROR(__xludf.DUMMYFUNCTION("""COMPUTED_VALUE"""),1.18117078E8)</f>
        <v>118117078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>
        <f>IFERROR(__xludf.DUMMYFUNCTION("""COMPUTED_VALUE"""),45254.54513888889)</f>
        <v>45254.54514</v>
      </c>
      <c r="B293" s="3">
        <f>IFERROR(__xludf.DUMMYFUNCTION("""COMPUTED_VALUE"""),233.75)</f>
        <v>233.75</v>
      </c>
      <c r="C293" s="3">
        <f>IFERROR(__xludf.DUMMYFUNCTION("""COMPUTED_VALUE"""),238.75)</f>
        <v>238.75</v>
      </c>
      <c r="D293" s="3">
        <f>IFERROR(__xludf.DUMMYFUNCTION("""COMPUTED_VALUE"""),232.33)</f>
        <v>232.33</v>
      </c>
      <c r="E293" s="3">
        <f>IFERROR(__xludf.DUMMYFUNCTION("""COMPUTED_VALUE"""),235.45)</f>
        <v>235.45</v>
      </c>
      <c r="F293" s="3">
        <f>IFERROR(__xludf.DUMMYFUNCTION("""COMPUTED_VALUE"""),6.5125203E7)</f>
        <v>65125203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>
        <f>IFERROR(__xludf.DUMMYFUNCTION("""COMPUTED_VALUE"""),45257.66666666667)</f>
        <v>45257.66667</v>
      </c>
      <c r="B294" s="3">
        <f>IFERROR(__xludf.DUMMYFUNCTION("""COMPUTED_VALUE"""),236.89)</f>
        <v>236.89</v>
      </c>
      <c r="C294" s="3">
        <f>IFERROR(__xludf.DUMMYFUNCTION("""COMPUTED_VALUE"""),238.33)</f>
        <v>238.33</v>
      </c>
      <c r="D294" s="3">
        <f>IFERROR(__xludf.DUMMYFUNCTION("""COMPUTED_VALUE"""),232.1)</f>
        <v>232.1</v>
      </c>
      <c r="E294" s="3">
        <f>IFERROR(__xludf.DUMMYFUNCTION("""COMPUTED_VALUE"""),236.08)</f>
        <v>236.08</v>
      </c>
      <c r="F294" s="3">
        <f>IFERROR(__xludf.DUMMYFUNCTION("""COMPUTED_VALUE"""),1.12031763E8)</f>
        <v>112031763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>
        <f>IFERROR(__xludf.DUMMYFUNCTION("""COMPUTED_VALUE"""),45258.66666666667)</f>
        <v>45258.66667</v>
      </c>
      <c r="B295" s="3">
        <f>IFERROR(__xludf.DUMMYFUNCTION("""COMPUTED_VALUE"""),236.68)</f>
        <v>236.68</v>
      </c>
      <c r="C295" s="3">
        <f>IFERROR(__xludf.DUMMYFUNCTION("""COMPUTED_VALUE"""),247.0)</f>
        <v>247</v>
      </c>
      <c r="D295" s="3">
        <f>IFERROR(__xludf.DUMMYFUNCTION("""COMPUTED_VALUE"""),234.01)</f>
        <v>234.01</v>
      </c>
      <c r="E295" s="3">
        <f>IFERROR(__xludf.DUMMYFUNCTION("""COMPUTED_VALUE"""),246.72)</f>
        <v>246.72</v>
      </c>
      <c r="F295" s="3">
        <f>IFERROR(__xludf.DUMMYFUNCTION("""COMPUTED_VALUE"""),1.48549913E8)</f>
        <v>148549913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>
        <f>IFERROR(__xludf.DUMMYFUNCTION("""COMPUTED_VALUE"""),45259.66666666667)</f>
        <v>45259.66667</v>
      </c>
      <c r="B296" s="3">
        <f>IFERROR(__xludf.DUMMYFUNCTION("""COMPUTED_VALUE"""),249.21)</f>
        <v>249.21</v>
      </c>
      <c r="C296" s="3">
        <f>IFERROR(__xludf.DUMMYFUNCTION("""COMPUTED_VALUE"""),252.75)</f>
        <v>252.75</v>
      </c>
      <c r="D296" s="3">
        <f>IFERROR(__xludf.DUMMYFUNCTION("""COMPUTED_VALUE"""),242.76)</f>
        <v>242.76</v>
      </c>
      <c r="E296" s="3">
        <f>IFERROR(__xludf.DUMMYFUNCTION("""COMPUTED_VALUE"""),244.14)</f>
        <v>244.14</v>
      </c>
      <c r="F296" s="3">
        <f>IFERROR(__xludf.DUMMYFUNCTION("""COMPUTED_VALUE"""),1.35401335E8)</f>
        <v>135401335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>
        <f>IFERROR(__xludf.DUMMYFUNCTION("""COMPUTED_VALUE"""),45260.66666666667)</f>
        <v>45260.66667</v>
      </c>
      <c r="B297" s="3">
        <f>IFERROR(__xludf.DUMMYFUNCTION("""COMPUTED_VALUE"""),245.14)</f>
        <v>245.14</v>
      </c>
      <c r="C297" s="3">
        <f>IFERROR(__xludf.DUMMYFUNCTION("""COMPUTED_VALUE"""),245.22)</f>
        <v>245.22</v>
      </c>
      <c r="D297" s="3">
        <f>IFERROR(__xludf.DUMMYFUNCTION("""COMPUTED_VALUE"""),236.91)</f>
        <v>236.91</v>
      </c>
      <c r="E297" s="3">
        <f>IFERROR(__xludf.DUMMYFUNCTION("""COMPUTED_VALUE"""),240.08)</f>
        <v>240.08</v>
      </c>
      <c r="F297" s="3">
        <f>IFERROR(__xludf.DUMMYFUNCTION("""COMPUTED_VALUE"""),1.32353196E8)</f>
        <v>132353196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>
        <f>IFERROR(__xludf.DUMMYFUNCTION("""COMPUTED_VALUE"""),45261.66666666667)</f>
        <v>45261.66667</v>
      </c>
      <c r="B298" s="3">
        <f>IFERROR(__xludf.DUMMYFUNCTION("""COMPUTED_VALUE"""),233.14)</f>
        <v>233.14</v>
      </c>
      <c r="C298" s="3">
        <f>IFERROR(__xludf.DUMMYFUNCTION("""COMPUTED_VALUE"""),240.19)</f>
        <v>240.19</v>
      </c>
      <c r="D298" s="3">
        <f>IFERROR(__xludf.DUMMYFUNCTION("""COMPUTED_VALUE"""),231.9)</f>
        <v>231.9</v>
      </c>
      <c r="E298" s="3">
        <f>IFERROR(__xludf.DUMMYFUNCTION("""COMPUTED_VALUE"""),238.83)</f>
        <v>238.83</v>
      </c>
      <c r="F298" s="3">
        <f>IFERROR(__xludf.DUMMYFUNCTION("""COMPUTED_VALUE"""),1.21331709E8)</f>
        <v>121331709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>
        <f>IFERROR(__xludf.DUMMYFUNCTION("""COMPUTED_VALUE"""),45264.66666666667)</f>
        <v>45264.66667</v>
      </c>
      <c r="B299" s="3">
        <f>IFERROR(__xludf.DUMMYFUNCTION("""COMPUTED_VALUE"""),235.75)</f>
        <v>235.75</v>
      </c>
      <c r="C299" s="3">
        <f>IFERROR(__xludf.DUMMYFUNCTION("""COMPUTED_VALUE"""),239.37)</f>
        <v>239.37</v>
      </c>
      <c r="D299" s="3">
        <f>IFERROR(__xludf.DUMMYFUNCTION("""COMPUTED_VALUE"""),233.29)</f>
        <v>233.29</v>
      </c>
      <c r="E299" s="3">
        <f>IFERROR(__xludf.DUMMYFUNCTION("""COMPUTED_VALUE"""),235.58)</f>
        <v>235.58</v>
      </c>
      <c r="F299" s="3">
        <f>IFERROR(__xludf.DUMMYFUNCTION("""COMPUTED_VALUE"""),1.04099817E8)</f>
        <v>104099817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>
        <f>IFERROR(__xludf.DUMMYFUNCTION("""COMPUTED_VALUE"""),45265.66666666667)</f>
        <v>45265.66667</v>
      </c>
      <c r="B300" s="3">
        <f>IFERROR(__xludf.DUMMYFUNCTION("""COMPUTED_VALUE"""),233.87)</f>
        <v>233.87</v>
      </c>
      <c r="C300" s="3">
        <f>IFERROR(__xludf.DUMMYFUNCTION("""COMPUTED_VALUE"""),246.66)</f>
        <v>246.66</v>
      </c>
      <c r="D300" s="3">
        <f>IFERROR(__xludf.DUMMYFUNCTION("""COMPUTED_VALUE"""),233.7)</f>
        <v>233.7</v>
      </c>
      <c r="E300" s="3">
        <f>IFERROR(__xludf.DUMMYFUNCTION("""COMPUTED_VALUE"""),238.72)</f>
        <v>238.72</v>
      </c>
      <c r="F300" s="3">
        <f>IFERROR(__xludf.DUMMYFUNCTION("""COMPUTED_VALUE"""),1.37971115E8)</f>
        <v>137971115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>
        <f>IFERROR(__xludf.DUMMYFUNCTION("""COMPUTED_VALUE"""),45266.66666666667)</f>
        <v>45266.66667</v>
      </c>
      <c r="B301" s="3">
        <f>IFERROR(__xludf.DUMMYFUNCTION("""COMPUTED_VALUE"""),242.92)</f>
        <v>242.92</v>
      </c>
      <c r="C301" s="3">
        <f>IFERROR(__xludf.DUMMYFUNCTION("""COMPUTED_VALUE"""),246.57)</f>
        <v>246.57</v>
      </c>
      <c r="D301" s="3">
        <f>IFERROR(__xludf.DUMMYFUNCTION("""COMPUTED_VALUE"""),239.17)</f>
        <v>239.17</v>
      </c>
      <c r="E301" s="3">
        <f>IFERROR(__xludf.DUMMYFUNCTION("""COMPUTED_VALUE"""),239.37)</f>
        <v>239.37</v>
      </c>
      <c r="F301" s="3">
        <f>IFERROR(__xludf.DUMMYFUNCTION("""COMPUTED_VALUE"""),1.26436179E8)</f>
        <v>126436179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>
        <f>IFERROR(__xludf.DUMMYFUNCTION("""COMPUTED_VALUE"""),45267.66666666667)</f>
        <v>45267.66667</v>
      </c>
      <c r="B302" s="3">
        <f>IFERROR(__xludf.DUMMYFUNCTION("""COMPUTED_VALUE"""),241.55)</f>
        <v>241.55</v>
      </c>
      <c r="C302" s="3">
        <f>IFERROR(__xludf.DUMMYFUNCTION("""COMPUTED_VALUE"""),244.08)</f>
        <v>244.08</v>
      </c>
      <c r="D302" s="3">
        <f>IFERROR(__xludf.DUMMYFUNCTION("""COMPUTED_VALUE"""),236.98)</f>
        <v>236.98</v>
      </c>
      <c r="E302" s="3">
        <f>IFERROR(__xludf.DUMMYFUNCTION("""COMPUTED_VALUE"""),242.64)</f>
        <v>242.64</v>
      </c>
      <c r="F302" s="3">
        <f>IFERROR(__xludf.DUMMYFUNCTION("""COMPUTED_VALUE"""),1.07142262E8)</f>
        <v>107142262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>
        <f>IFERROR(__xludf.DUMMYFUNCTION("""COMPUTED_VALUE"""),45268.66666666667)</f>
        <v>45268.66667</v>
      </c>
      <c r="B303" s="3">
        <f>IFERROR(__xludf.DUMMYFUNCTION("""COMPUTED_VALUE"""),240.27)</f>
        <v>240.27</v>
      </c>
      <c r="C303" s="3">
        <f>IFERROR(__xludf.DUMMYFUNCTION("""COMPUTED_VALUE"""),245.27)</f>
        <v>245.27</v>
      </c>
      <c r="D303" s="3">
        <f>IFERROR(__xludf.DUMMYFUNCTION("""COMPUTED_VALUE"""),239.27)</f>
        <v>239.27</v>
      </c>
      <c r="E303" s="3">
        <f>IFERROR(__xludf.DUMMYFUNCTION("""COMPUTED_VALUE"""),243.84)</f>
        <v>243.84</v>
      </c>
      <c r="F303" s="3">
        <f>IFERROR(__xludf.DUMMYFUNCTION("""COMPUTED_VALUE"""),1.03126829E8)</f>
        <v>103126829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>
        <f>IFERROR(__xludf.DUMMYFUNCTION("""COMPUTED_VALUE"""),45271.66666666667)</f>
        <v>45271.66667</v>
      </c>
      <c r="B304" s="3">
        <f>IFERROR(__xludf.DUMMYFUNCTION("""COMPUTED_VALUE"""),242.74)</f>
        <v>242.74</v>
      </c>
      <c r="C304" s="3">
        <f>IFERROR(__xludf.DUMMYFUNCTION("""COMPUTED_VALUE"""),243.44)</f>
        <v>243.44</v>
      </c>
      <c r="D304" s="3">
        <f>IFERROR(__xludf.DUMMYFUNCTION("""COMPUTED_VALUE"""),237.45)</f>
        <v>237.45</v>
      </c>
      <c r="E304" s="3">
        <f>IFERROR(__xludf.DUMMYFUNCTION("""COMPUTED_VALUE"""),239.74)</f>
        <v>239.74</v>
      </c>
      <c r="F304" s="3">
        <f>IFERROR(__xludf.DUMMYFUNCTION("""COMPUTED_VALUE"""),9.7913888E7)</f>
        <v>97913888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>
        <f>IFERROR(__xludf.DUMMYFUNCTION("""COMPUTED_VALUE"""),45272.66666666667)</f>
        <v>45272.66667</v>
      </c>
      <c r="B305" s="3">
        <f>IFERROR(__xludf.DUMMYFUNCTION("""COMPUTED_VALUE"""),238.55)</f>
        <v>238.55</v>
      </c>
      <c r="C305" s="3">
        <f>IFERROR(__xludf.DUMMYFUNCTION("""COMPUTED_VALUE"""),238.99)</f>
        <v>238.99</v>
      </c>
      <c r="D305" s="3">
        <f>IFERROR(__xludf.DUMMYFUNCTION("""COMPUTED_VALUE"""),233.87)</f>
        <v>233.87</v>
      </c>
      <c r="E305" s="3">
        <f>IFERROR(__xludf.DUMMYFUNCTION("""COMPUTED_VALUE"""),237.01)</f>
        <v>237.01</v>
      </c>
      <c r="F305" s="3">
        <f>IFERROR(__xludf.DUMMYFUNCTION("""COMPUTED_VALUE"""),9.5328313E7)</f>
        <v>95328313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>
        <f>IFERROR(__xludf.DUMMYFUNCTION("""COMPUTED_VALUE"""),45273.66666666667)</f>
        <v>45273.66667</v>
      </c>
      <c r="B306" s="3">
        <f>IFERROR(__xludf.DUMMYFUNCTION("""COMPUTED_VALUE"""),234.19)</f>
        <v>234.19</v>
      </c>
      <c r="C306" s="3">
        <f>IFERROR(__xludf.DUMMYFUNCTION("""COMPUTED_VALUE"""),240.3)</f>
        <v>240.3</v>
      </c>
      <c r="D306" s="3">
        <f>IFERROR(__xludf.DUMMYFUNCTION("""COMPUTED_VALUE"""),228.2)</f>
        <v>228.2</v>
      </c>
      <c r="E306" s="3">
        <f>IFERROR(__xludf.DUMMYFUNCTION("""COMPUTED_VALUE"""),239.29)</f>
        <v>239.29</v>
      </c>
      <c r="F306" s="3">
        <f>IFERROR(__xludf.DUMMYFUNCTION("""COMPUTED_VALUE"""),1.46286348E8)</f>
        <v>146286348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>
        <f>IFERROR(__xludf.DUMMYFUNCTION("""COMPUTED_VALUE"""),45274.66666666667)</f>
        <v>45274.66667</v>
      </c>
      <c r="B307" s="3">
        <f>IFERROR(__xludf.DUMMYFUNCTION("""COMPUTED_VALUE"""),241.22)</f>
        <v>241.22</v>
      </c>
      <c r="C307" s="3">
        <f>IFERROR(__xludf.DUMMYFUNCTION("""COMPUTED_VALUE"""),253.88)</f>
        <v>253.88</v>
      </c>
      <c r="D307" s="3">
        <f>IFERROR(__xludf.DUMMYFUNCTION("""COMPUTED_VALUE"""),240.79)</f>
        <v>240.79</v>
      </c>
      <c r="E307" s="3">
        <f>IFERROR(__xludf.DUMMYFUNCTION("""COMPUTED_VALUE"""),251.05)</f>
        <v>251.05</v>
      </c>
      <c r="F307" s="3">
        <f>IFERROR(__xludf.DUMMYFUNCTION("""COMPUTED_VALUE"""),1.60829239E8)</f>
        <v>160829239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>
        <f>IFERROR(__xludf.DUMMYFUNCTION("""COMPUTED_VALUE"""),45275.66666666667)</f>
        <v>45275.66667</v>
      </c>
      <c r="B308" s="3">
        <f>IFERROR(__xludf.DUMMYFUNCTION("""COMPUTED_VALUE"""),251.21)</f>
        <v>251.21</v>
      </c>
      <c r="C308" s="3">
        <f>IFERROR(__xludf.DUMMYFUNCTION("""COMPUTED_VALUE"""),254.13)</f>
        <v>254.13</v>
      </c>
      <c r="D308" s="3">
        <f>IFERROR(__xludf.DUMMYFUNCTION("""COMPUTED_VALUE"""),248.3)</f>
        <v>248.3</v>
      </c>
      <c r="E308" s="3">
        <f>IFERROR(__xludf.DUMMYFUNCTION("""COMPUTED_VALUE"""),253.5)</f>
        <v>253.5</v>
      </c>
      <c r="F308" s="3">
        <f>IFERROR(__xludf.DUMMYFUNCTION("""COMPUTED_VALUE"""),1.35932762E8)</f>
        <v>135932762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>
        <f>IFERROR(__xludf.DUMMYFUNCTION("""COMPUTED_VALUE"""),45278.66666666667)</f>
        <v>45278.66667</v>
      </c>
      <c r="B309" s="3">
        <f>IFERROR(__xludf.DUMMYFUNCTION("""COMPUTED_VALUE"""),253.78)</f>
        <v>253.78</v>
      </c>
      <c r="C309" s="3">
        <f>IFERROR(__xludf.DUMMYFUNCTION("""COMPUTED_VALUE"""),258.74)</f>
        <v>258.74</v>
      </c>
      <c r="D309" s="3">
        <f>IFERROR(__xludf.DUMMYFUNCTION("""COMPUTED_VALUE"""),251.36)</f>
        <v>251.36</v>
      </c>
      <c r="E309" s="3">
        <f>IFERROR(__xludf.DUMMYFUNCTION("""COMPUTED_VALUE"""),252.08)</f>
        <v>252.08</v>
      </c>
      <c r="F309" s="3">
        <f>IFERROR(__xludf.DUMMYFUNCTION("""COMPUTED_VALUE"""),1.1641649E8)</f>
        <v>116416490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>
        <f>IFERROR(__xludf.DUMMYFUNCTION("""COMPUTED_VALUE"""),45279.66666666667)</f>
        <v>45279.66667</v>
      </c>
      <c r="B310" s="3">
        <f>IFERROR(__xludf.DUMMYFUNCTION("""COMPUTED_VALUE"""),253.48)</f>
        <v>253.48</v>
      </c>
      <c r="C310" s="3">
        <f>IFERROR(__xludf.DUMMYFUNCTION("""COMPUTED_VALUE"""),258.34)</f>
        <v>258.34</v>
      </c>
      <c r="D310" s="3">
        <f>IFERROR(__xludf.DUMMYFUNCTION("""COMPUTED_VALUE"""),253.01)</f>
        <v>253.01</v>
      </c>
      <c r="E310" s="3">
        <f>IFERROR(__xludf.DUMMYFUNCTION("""COMPUTED_VALUE"""),257.22)</f>
        <v>257.22</v>
      </c>
      <c r="F310" s="3">
        <f>IFERROR(__xludf.DUMMYFUNCTION("""COMPUTED_VALUE"""),1.06737369E8)</f>
        <v>106737369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>
        <f>IFERROR(__xludf.DUMMYFUNCTION("""COMPUTED_VALUE"""),45280.66666666667)</f>
        <v>45280.66667</v>
      </c>
      <c r="B311" s="3">
        <f>IFERROR(__xludf.DUMMYFUNCTION("""COMPUTED_VALUE"""),256.41)</f>
        <v>256.41</v>
      </c>
      <c r="C311" s="3">
        <f>IFERROR(__xludf.DUMMYFUNCTION("""COMPUTED_VALUE"""),259.84)</f>
        <v>259.84</v>
      </c>
      <c r="D311" s="3">
        <f>IFERROR(__xludf.DUMMYFUNCTION("""COMPUTED_VALUE"""),247.0)</f>
        <v>247</v>
      </c>
      <c r="E311" s="3">
        <f>IFERROR(__xludf.DUMMYFUNCTION("""COMPUTED_VALUE"""),247.14)</f>
        <v>247.14</v>
      </c>
      <c r="F311" s="3">
        <f>IFERROR(__xludf.DUMMYFUNCTION("""COMPUTED_VALUE"""),1.25096987E8)</f>
        <v>125096987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>
        <f>IFERROR(__xludf.DUMMYFUNCTION("""COMPUTED_VALUE"""),45281.66666666667)</f>
        <v>45281.66667</v>
      </c>
      <c r="B312" s="3">
        <f>IFERROR(__xludf.DUMMYFUNCTION("""COMPUTED_VALUE"""),251.9)</f>
        <v>251.9</v>
      </c>
      <c r="C312" s="3">
        <f>IFERROR(__xludf.DUMMYFUNCTION("""COMPUTED_VALUE"""),254.8)</f>
        <v>254.8</v>
      </c>
      <c r="D312" s="3">
        <f>IFERROR(__xludf.DUMMYFUNCTION("""COMPUTED_VALUE"""),248.55)</f>
        <v>248.55</v>
      </c>
      <c r="E312" s="3">
        <f>IFERROR(__xludf.DUMMYFUNCTION("""COMPUTED_VALUE"""),254.5)</f>
        <v>254.5</v>
      </c>
      <c r="F312" s="3">
        <f>IFERROR(__xludf.DUMMYFUNCTION("""COMPUTED_VALUE"""),1.09594227E8)</f>
        <v>109594227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>
        <f>IFERROR(__xludf.DUMMYFUNCTION("""COMPUTED_VALUE"""),45282.66666666667)</f>
        <v>45282.66667</v>
      </c>
      <c r="B313" s="3">
        <f>IFERROR(__xludf.DUMMYFUNCTION("""COMPUTED_VALUE"""),256.76)</f>
        <v>256.76</v>
      </c>
      <c r="C313" s="3">
        <f>IFERROR(__xludf.DUMMYFUNCTION("""COMPUTED_VALUE"""),258.22)</f>
        <v>258.22</v>
      </c>
      <c r="D313" s="3">
        <f>IFERROR(__xludf.DUMMYFUNCTION("""COMPUTED_VALUE"""),251.37)</f>
        <v>251.37</v>
      </c>
      <c r="E313" s="3">
        <f>IFERROR(__xludf.DUMMYFUNCTION("""COMPUTED_VALUE"""),252.54)</f>
        <v>252.54</v>
      </c>
      <c r="F313" s="3">
        <f>IFERROR(__xludf.DUMMYFUNCTION("""COMPUTED_VALUE"""),9.3370094E7)</f>
        <v>93370094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>
        <f>IFERROR(__xludf.DUMMYFUNCTION("""COMPUTED_VALUE"""),45286.66666666667)</f>
        <v>45286.66667</v>
      </c>
      <c r="B314" s="3">
        <f>IFERROR(__xludf.DUMMYFUNCTION("""COMPUTED_VALUE"""),254.49)</f>
        <v>254.49</v>
      </c>
      <c r="C314" s="3">
        <f>IFERROR(__xludf.DUMMYFUNCTION("""COMPUTED_VALUE"""),257.97)</f>
        <v>257.97</v>
      </c>
      <c r="D314" s="3">
        <f>IFERROR(__xludf.DUMMYFUNCTION("""COMPUTED_VALUE"""),252.91)</f>
        <v>252.91</v>
      </c>
      <c r="E314" s="3">
        <f>IFERROR(__xludf.DUMMYFUNCTION("""COMPUTED_VALUE"""),256.61)</f>
        <v>256.61</v>
      </c>
      <c r="F314" s="3">
        <f>IFERROR(__xludf.DUMMYFUNCTION("""COMPUTED_VALUE"""),8.6892382E7)</f>
        <v>86892382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>
        <f>IFERROR(__xludf.DUMMYFUNCTION("""COMPUTED_VALUE"""),45287.66666666667)</f>
        <v>45287.66667</v>
      </c>
      <c r="B315" s="3">
        <f>IFERROR(__xludf.DUMMYFUNCTION("""COMPUTED_VALUE"""),258.35)</f>
        <v>258.35</v>
      </c>
      <c r="C315" s="3">
        <f>IFERROR(__xludf.DUMMYFUNCTION("""COMPUTED_VALUE"""),263.34)</f>
        <v>263.34</v>
      </c>
      <c r="D315" s="3">
        <f>IFERROR(__xludf.DUMMYFUNCTION("""COMPUTED_VALUE"""),257.52)</f>
        <v>257.52</v>
      </c>
      <c r="E315" s="3">
        <f>IFERROR(__xludf.DUMMYFUNCTION("""COMPUTED_VALUE"""),261.44)</f>
        <v>261.44</v>
      </c>
      <c r="F315" s="3">
        <f>IFERROR(__xludf.DUMMYFUNCTION("""COMPUTED_VALUE"""),1.06494359E8)</f>
        <v>106494359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>
        <f>IFERROR(__xludf.DUMMYFUNCTION("""COMPUTED_VALUE"""),45288.66666666667)</f>
        <v>45288.66667</v>
      </c>
      <c r="B316" s="3">
        <f>IFERROR(__xludf.DUMMYFUNCTION("""COMPUTED_VALUE"""),263.66)</f>
        <v>263.66</v>
      </c>
      <c r="C316" s="3">
        <f>IFERROR(__xludf.DUMMYFUNCTION("""COMPUTED_VALUE"""),265.13)</f>
        <v>265.13</v>
      </c>
      <c r="D316" s="3">
        <f>IFERROR(__xludf.DUMMYFUNCTION("""COMPUTED_VALUE"""),252.71)</f>
        <v>252.71</v>
      </c>
      <c r="E316" s="3">
        <f>IFERROR(__xludf.DUMMYFUNCTION("""COMPUTED_VALUE"""),253.18)</f>
        <v>253.18</v>
      </c>
      <c r="F316" s="3">
        <f>IFERROR(__xludf.DUMMYFUNCTION("""COMPUTED_VALUE"""),1.13619943E8)</f>
        <v>113619943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>
        <f>IFERROR(__xludf.DUMMYFUNCTION("""COMPUTED_VALUE"""),45289.66666666667)</f>
        <v>45289.66667</v>
      </c>
      <c r="B317" s="3">
        <f>IFERROR(__xludf.DUMMYFUNCTION("""COMPUTED_VALUE"""),255.1)</f>
        <v>255.1</v>
      </c>
      <c r="C317" s="3">
        <f>IFERROR(__xludf.DUMMYFUNCTION("""COMPUTED_VALUE"""),255.19)</f>
        <v>255.19</v>
      </c>
      <c r="D317" s="3">
        <f>IFERROR(__xludf.DUMMYFUNCTION("""COMPUTED_VALUE"""),247.43)</f>
        <v>247.43</v>
      </c>
      <c r="E317" s="3">
        <f>IFERROR(__xludf.DUMMYFUNCTION("""COMPUTED_VALUE"""),248.48)</f>
        <v>248.48</v>
      </c>
      <c r="F317" s="3">
        <f>IFERROR(__xludf.DUMMYFUNCTION("""COMPUTED_VALUE"""),1.00891578E8)</f>
        <v>100891578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>
        <f>IFERROR(__xludf.DUMMYFUNCTION("""COMPUTED_VALUE"""),45293.66666666667)</f>
        <v>45293.66667</v>
      </c>
      <c r="B318" s="3">
        <f>IFERROR(__xludf.DUMMYFUNCTION("""COMPUTED_VALUE"""),250.08)</f>
        <v>250.08</v>
      </c>
      <c r="C318" s="3">
        <f>IFERROR(__xludf.DUMMYFUNCTION("""COMPUTED_VALUE"""),251.25)</f>
        <v>251.25</v>
      </c>
      <c r="D318" s="3">
        <f>IFERROR(__xludf.DUMMYFUNCTION("""COMPUTED_VALUE"""),244.41)</f>
        <v>244.41</v>
      </c>
      <c r="E318" s="3">
        <f>IFERROR(__xludf.DUMMYFUNCTION("""COMPUTED_VALUE"""),248.42)</f>
        <v>248.42</v>
      </c>
      <c r="F318" s="3">
        <f>IFERROR(__xludf.DUMMYFUNCTION("""COMPUTED_VALUE"""),1.04654163E8)</f>
        <v>104654163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>
        <f>IFERROR(__xludf.DUMMYFUNCTION("""COMPUTED_VALUE"""),45294.66666666667)</f>
        <v>45294.66667</v>
      </c>
      <c r="B319" s="3">
        <f>IFERROR(__xludf.DUMMYFUNCTION("""COMPUTED_VALUE"""),244.98)</f>
        <v>244.98</v>
      </c>
      <c r="C319" s="3">
        <f>IFERROR(__xludf.DUMMYFUNCTION("""COMPUTED_VALUE"""),245.68)</f>
        <v>245.68</v>
      </c>
      <c r="D319" s="3">
        <f>IFERROR(__xludf.DUMMYFUNCTION("""COMPUTED_VALUE"""),236.32)</f>
        <v>236.32</v>
      </c>
      <c r="E319" s="3">
        <f>IFERROR(__xludf.DUMMYFUNCTION("""COMPUTED_VALUE"""),238.45)</f>
        <v>238.45</v>
      </c>
      <c r="F319" s="3">
        <f>IFERROR(__xludf.DUMMYFUNCTION("""COMPUTED_VALUE"""),1.21082599E8)</f>
        <v>121082599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>
        <f>IFERROR(__xludf.DUMMYFUNCTION("""COMPUTED_VALUE"""),45295.66666666667)</f>
        <v>45295.66667</v>
      </c>
      <c r="B320" s="3">
        <f>IFERROR(__xludf.DUMMYFUNCTION("""COMPUTED_VALUE"""),239.25)</f>
        <v>239.25</v>
      </c>
      <c r="C320" s="3">
        <f>IFERROR(__xludf.DUMMYFUNCTION("""COMPUTED_VALUE"""),242.7)</f>
        <v>242.7</v>
      </c>
      <c r="D320" s="3">
        <f>IFERROR(__xludf.DUMMYFUNCTION("""COMPUTED_VALUE"""),237.73)</f>
        <v>237.73</v>
      </c>
      <c r="E320" s="3">
        <f>IFERROR(__xludf.DUMMYFUNCTION("""COMPUTED_VALUE"""),237.93)</f>
        <v>237.93</v>
      </c>
      <c r="F320" s="3">
        <f>IFERROR(__xludf.DUMMYFUNCTION("""COMPUTED_VALUE"""),1.02629283E8)</f>
        <v>102629283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>
        <f>IFERROR(__xludf.DUMMYFUNCTION("""COMPUTED_VALUE"""),45296.66666666667)</f>
        <v>45296.66667</v>
      </c>
      <c r="B321" s="3">
        <f>IFERROR(__xludf.DUMMYFUNCTION("""COMPUTED_VALUE"""),236.86)</f>
        <v>236.86</v>
      </c>
      <c r="C321" s="3">
        <f>IFERROR(__xludf.DUMMYFUNCTION("""COMPUTED_VALUE"""),240.12)</f>
        <v>240.12</v>
      </c>
      <c r="D321" s="3">
        <f>IFERROR(__xludf.DUMMYFUNCTION("""COMPUTED_VALUE"""),234.9)</f>
        <v>234.9</v>
      </c>
      <c r="E321" s="3">
        <f>IFERROR(__xludf.DUMMYFUNCTION("""COMPUTED_VALUE"""),237.49)</f>
        <v>237.49</v>
      </c>
      <c r="F321" s="3">
        <f>IFERROR(__xludf.DUMMYFUNCTION("""COMPUTED_VALUE"""),9.2488939E7)</f>
        <v>92488939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>
        <f>IFERROR(__xludf.DUMMYFUNCTION("""COMPUTED_VALUE"""),45299.66666666667)</f>
        <v>45299.66667</v>
      </c>
      <c r="B322" s="3">
        <f>IFERROR(__xludf.DUMMYFUNCTION("""COMPUTED_VALUE"""),236.14)</f>
        <v>236.14</v>
      </c>
      <c r="C322" s="3">
        <f>IFERROR(__xludf.DUMMYFUNCTION("""COMPUTED_VALUE"""),241.25)</f>
        <v>241.25</v>
      </c>
      <c r="D322" s="3">
        <f>IFERROR(__xludf.DUMMYFUNCTION("""COMPUTED_VALUE"""),235.3)</f>
        <v>235.3</v>
      </c>
      <c r="E322" s="3">
        <f>IFERROR(__xludf.DUMMYFUNCTION("""COMPUTED_VALUE"""),240.45)</f>
        <v>240.45</v>
      </c>
      <c r="F322" s="3">
        <f>IFERROR(__xludf.DUMMYFUNCTION("""COMPUTED_VALUE"""),8.516658E7)</f>
        <v>85166580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>
        <f>IFERROR(__xludf.DUMMYFUNCTION("""COMPUTED_VALUE"""),45300.66666666667)</f>
        <v>45300.66667</v>
      </c>
      <c r="B323" s="3">
        <f>IFERROR(__xludf.DUMMYFUNCTION("""COMPUTED_VALUE"""),238.11)</f>
        <v>238.11</v>
      </c>
      <c r="C323" s="3">
        <f>IFERROR(__xludf.DUMMYFUNCTION("""COMPUTED_VALUE"""),238.96)</f>
        <v>238.96</v>
      </c>
      <c r="D323" s="3">
        <f>IFERROR(__xludf.DUMMYFUNCTION("""COMPUTED_VALUE"""),232.04)</f>
        <v>232.04</v>
      </c>
      <c r="E323" s="3">
        <f>IFERROR(__xludf.DUMMYFUNCTION("""COMPUTED_VALUE"""),234.96)</f>
        <v>234.96</v>
      </c>
      <c r="F323" s="3">
        <f>IFERROR(__xludf.DUMMYFUNCTION("""COMPUTED_VALUE"""),9.6705664E7)</f>
        <v>96705664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>
        <f>IFERROR(__xludf.DUMMYFUNCTION("""COMPUTED_VALUE"""),45301.66666666667)</f>
        <v>45301.66667</v>
      </c>
      <c r="B324" s="3">
        <f>IFERROR(__xludf.DUMMYFUNCTION("""COMPUTED_VALUE"""),235.1)</f>
        <v>235.1</v>
      </c>
      <c r="C324" s="3">
        <f>IFERROR(__xludf.DUMMYFUNCTION("""COMPUTED_VALUE"""),235.5)</f>
        <v>235.5</v>
      </c>
      <c r="D324" s="3">
        <f>IFERROR(__xludf.DUMMYFUNCTION("""COMPUTED_VALUE"""),231.29)</f>
        <v>231.29</v>
      </c>
      <c r="E324" s="3">
        <f>IFERROR(__xludf.DUMMYFUNCTION("""COMPUTED_VALUE"""),233.94)</f>
        <v>233.94</v>
      </c>
      <c r="F324" s="3">
        <f>IFERROR(__xludf.DUMMYFUNCTION("""COMPUTED_VALUE"""),9.1628502E7)</f>
        <v>91628502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>
        <f>IFERROR(__xludf.DUMMYFUNCTION("""COMPUTED_VALUE"""),45302.66666666667)</f>
        <v>45302.66667</v>
      </c>
      <c r="B325" s="3">
        <f>IFERROR(__xludf.DUMMYFUNCTION("""COMPUTED_VALUE"""),230.57)</f>
        <v>230.57</v>
      </c>
      <c r="C325" s="3">
        <f>IFERROR(__xludf.DUMMYFUNCTION("""COMPUTED_VALUE"""),230.93)</f>
        <v>230.93</v>
      </c>
      <c r="D325" s="3">
        <f>IFERROR(__xludf.DUMMYFUNCTION("""COMPUTED_VALUE"""),225.37)</f>
        <v>225.37</v>
      </c>
      <c r="E325" s="3">
        <f>IFERROR(__xludf.DUMMYFUNCTION("""COMPUTED_VALUE"""),227.22)</f>
        <v>227.22</v>
      </c>
      <c r="F325" s="3">
        <f>IFERROR(__xludf.DUMMYFUNCTION("""COMPUTED_VALUE"""),1.05873612E8)</f>
        <v>105873612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>
        <f>IFERROR(__xludf.DUMMYFUNCTION("""COMPUTED_VALUE"""),45303.66666666667)</f>
        <v>45303.66667</v>
      </c>
      <c r="B326" s="3">
        <f>IFERROR(__xludf.DUMMYFUNCTION("""COMPUTED_VALUE"""),220.08)</f>
        <v>220.08</v>
      </c>
      <c r="C326" s="3">
        <f>IFERROR(__xludf.DUMMYFUNCTION("""COMPUTED_VALUE"""),225.34)</f>
        <v>225.34</v>
      </c>
      <c r="D326" s="3">
        <f>IFERROR(__xludf.DUMMYFUNCTION("""COMPUTED_VALUE"""),217.15)</f>
        <v>217.15</v>
      </c>
      <c r="E326" s="3">
        <f>IFERROR(__xludf.DUMMYFUNCTION("""COMPUTED_VALUE"""),218.89)</f>
        <v>218.89</v>
      </c>
      <c r="F326" s="3">
        <f>IFERROR(__xludf.DUMMYFUNCTION("""COMPUTED_VALUE"""),1.23043812E8)</f>
        <v>123043812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>
        <f>IFERROR(__xludf.DUMMYFUNCTION("""COMPUTED_VALUE"""),45307.66666666667)</f>
        <v>45307.66667</v>
      </c>
      <c r="B327" s="3">
        <f>IFERROR(__xludf.DUMMYFUNCTION("""COMPUTED_VALUE"""),215.1)</f>
        <v>215.1</v>
      </c>
      <c r="C327" s="3">
        <f>IFERROR(__xludf.DUMMYFUNCTION("""COMPUTED_VALUE"""),223.49)</f>
        <v>223.49</v>
      </c>
      <c r="D327" s="3">
        <f>IFERROR(__xludf.DUMMYFUNCTION("""COMPUTED_VALUE"""),212.18)</f>
        <v>212.18</v>
      </c>
      <c r="E327" s="3">
        <f>IFERROR(__xludf.DUMMYFUNCTION("""COMPUTED_VALUE"""),219.91)</f>
        <v>219.91</v>
      </c>
      <c r="F327" s="3">
        <f>IFERROR(__xludf.DUMMYFUNCTION("""COMPUTED_VALUE"""),1.15355046E8)</f>
        <v>115355046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>
        <f>IFERROR(__xludf.DUMMYFUNCTION("""COMPUTED_VALUE"""),45308.66666666667)</f>
        <v>45308.66667</v>
      </c>
      <c r="B328" s="3">
        <f>IFERROR(__xludf.DUMMYFUNCTION("""COMPUTED_VALUE"""),214.86)</f>
        <v>214.86</v>
      </c>
      <c r="C328" s="3">
        <f>IFERROR(__xludf.DUMMYFUNCTION("""COMPUTED_VALUE"""),215.67)</f>
        <v>215.67</v>
      </c>
      <c r="D328" s="3">
        <f>IFERROR(__xludf.DUMMYFUNCTION("""COMPUTED_VALUE"""),212.01)</f>
        <v>212.01</v>
      </c>
      <c r="E328" s="3">
        <f>IFERROR(__xludf.DUMMYFUNCTION("""COMPUTED_VALUE"""),215.55)</f>
        <v>215.55</v>
      </c>
      <c r="F328" s="3">
        <f>IFERROR(__xludf.DUMMYFUNCTION("""COMPUTED_VALUE"""),1.031644E8)</f>
        <v>103164400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>
        <f>IFERROR(__xludf.DUMMYFUNCTION("""COMPUTED_VALUE"""),45309.66666666667)</f>
        <v>45309.66667</v>
      </c>
      <c r="B329" s="3">
        <f>IFERROR(__xludf.DUMMYFUNCTION("""COMPUTED_VALUE"""),216.88)</f>
        <v>216.88</v>
      </c>
      <c r="C329" s="3">
        <f>IFERROR(__xludf.DUMMYFUNCTION("""COMPUTED_VALUE"""),217.45)</f>
        <v>217.45</v>
      </c>
      <c r="D329" s="3">
        <f>IFERROR(__xludf.DUMMYFUNCTION("""COMPUTED_VALUE"""),208.74)</f>
        <v>208.74</v>
      </c>
      <c r="E329" s="3">
        <f>IFERROR(__xludf.DUMMYFUNCTION("""COMPUTED_VALUE"""),211.88)</f>
        <v>211.88</v>
      </c>
      <c r="F329" s="3">
        <f>IFERROR(__xludf.DUMMYFUNCTION("""COMPUTED_VALUE"""),1.08595431E8)</f>
        <v>108595431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>
        <f>IFERROR(__xludf.DUMMYFUNCTION("""COMPUTED_VALUE"""),45310.66666666667)</f>
        <v>45310.66667</v>
      </c>
      <c r="B330" s="3">
        <f>IFERROR(__xludf.DUMMYFUNCTION("""COMPUTED_VALUE"""),209.99)</f>
        <v>209.99</v>
      </c>
      <c r="C330" s="3">
        <f>IFERROR(__xludf.DUMMYFUNCTION("""COMPUTED_VALUE"""),213.19)</f>
        <v>213.19</v>
      </c>
      <c r="D330" s="3">
        <f>IFERROR(__xludf.DUMMYFUNCTION("""COMPUTED_VALUE"""),207.56)</f>
        <v>207.56</v>
      </c>
      <c r="E330" s="3">
        <f>IFERROR(__xludf.DUMMYFUNCTION("""COMPUTED_VALUE"""),212.19)</f>
        <v>212.19</v>
      </c>
      <c r="F330" s="3">
        <f>IFERROR(__xludf.DUMMYFUNCTION("""COMPUTED_VALUE"""),1.02260343E8)</f>
        <v>102260343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>
        <f>IFERROR(__xludf.DUMMYFUNCTION("""COMPUTED_VALUE"""),45313.66666666667)</f>
        <v>45313.66667</v>
      </c>
      <c r="B331" s="3">
        <f>IFERROR(__xludf.DUMMYFUNCTION("""COMPUTED_VALUE"""),212.26)</f>
        <v>212.26</v>
      </c>
      <c r="C331" s="3">
        <f>IFERROR(__xludf.DUMMYFUNCTION("""COMPUTED_VALUE"""),217.8)</f>
        <v>217.8</v>
      </c>
      <c r="D331" s="3">
        <f>IFERROR(__xludf.DUMMYFUNCTION("""COMPUTED_VALUE"""),206.27)</f>
        <v>206.27</v>
      </c>
      <c r="E331" s="3">
        <f>IFERROR(__xludf.DUMMYFUNCTION("""COMPUTED_VALUE"""),208.8)</f>
        <v>208.8</v>
      </c>
      <c r="F331" s="3">
        <f>IFERROR(__xludf.DUMMYFUNCTION("""COMPUTED_VALUE"""),1.17952527E8)</f>
        <v>117952527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>
        <f>IFERROR(__xludf.DUMMYFUNCTION("""COMPUTED_VALUE"""),45314.66666666667)</f>
        <v>45314.66667</v>
      </c>
      <c r="B332" s="3">
        <f>IFERROR(__xludf.DUMMYFUNCTION("""COMPUTED_VALUE"""),211.3)</f>
        <v>211.3</v>
      </c>
      <c r="C332" s="3">
        <f>IFERROR(__xludf.DUMMYFUNCTION("""COMPUTED_VALUE"""),215.65)</f>
        <v>215.65</v>
      </c>
      <c r="D332" s="3">
        <f>IFERROR(__xludf.DUMMYFUNCTION("""COMPUTED_VALUE"""),207.75)</f>
        <v>207.75</v>
      </c>
      <c r="E332" s="3">
        <f>IFERROR(__xludf.DUMMYFUNCTION("""COMPUTED_VALUE"""),209.14)</f>
        <v>209.14</v>
      </c>
      <c r="F332" s="3">
        <f>IFERROR(__xludf.DUMMYFUNCTION("""COMPUTED_VALUE"""),1.06605946E8)</f>
        <v>106605946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>
        <f>IFERROR(__xludf.DUMMYFUNCTION("""COMPUTED_VALUE"""),45315.66666666667)</f>
        <v>45315.66667</v>
      </c>
      <c r="B333" s="3">
        <f>IFERROR(__xludf.DUMMYFUNCTION("""COMPUTED_VALUE"""),211.88)</f>
        <v>211.88</v>
      </c>
      <c r="C333" s="3">
        <f>IFERROR(__xludf.DUMMYFUNCTION("""COMPUTED_VALUE"""),212.73)</f>
        <v>212.73</v>
      </c>
      <c r="D333" s="3">
        <f>IFERROR(__xludf.DUMMYFUNCTION("""COMPUTED_VALUE"""),206.77)</f>
        <v>206.77</v>
      </c>
      <c r="E333" s="3">
        <f>IFERROR(__xludf.DUMMYFUNCTION("""COMPUTED_VALUE"""),207.83)</f>
        <v>207.83</v>
      </c>
      <c r="F333" s="3">
        <f>IFERROR(__xludf.DUMMYFUNCTION("""COMPUTED_VALUE"""),1.23369932E8)</f>
        <v>123369932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>
        <f>IFERROR(__xludf.DUMMYFUNCTION("""COMPUTED_VALUE"""),45316.66666666667)</f>
        <v>45316.66667</v>
      </c>
      <c r="B334" s="3">
        <f>IFERROR(__xludf.DUMMYFUNCTION("""COMPUTED_VALUE"""),189.7)</f>
        <v>189.7</v>
      </c>
      <c r="C334" s="3">
        <f>IFERROR(__xludf.DUMMYFUNCTION("""COMPUTED_VALUE"""),193.0)</f>
        <v>193</v>
      </c>
      <c r="D334" s="3">
        <f>IFERROR(__xludf.DUMMYFUNCTION("""COMPUTED_VALUE"""),180.06)</f>
        <v>180.06</v>
      </c>
      <c r="E334" s="3">
        <f>IFERROR(__xludf.DUMMYFUNCTION("""COMPUTED_VALUE"""),182.63)</f>
        <v>182.63</v>
      </c>
      <c r="F334" s="3">
        <f>IFERROR(__xludf.DUMMYFUNCTION("""COMPUTED_VALUE"""),1.98076787E8)</f>
        <v>198076787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>
        <f>IFERROR(__xludf.DUMMYFUNCTION("""COMPUTED_VALUE"""),45317.66666666667)</f>
        <v>45317.66667</v>
      </c>
      <c r="B335" s="3">
        <f>IFERROR(__xludf.DUMMYFUNCTION("""COMPUTED_VALUE"""),185.5)</f>
        <v>185.5</v>
      </c>
      <c r="C335" s="3">
        <f>IFERROR(__xludf.DUMMYFUNCTION("""COMPUTED_VALUE"""),186.78)</f>
        <v>186.78</v>
      </c>
      <c r="D335" s="3">
        <f>IFERROR(__xludf.DUMMYFUNCTION("""COMPUTED_VALUE"""),182.1)</f>
        <v>182.1</v>
      </c>
      <c r="E335" s="3">
        <f>IFERROR(__xludf.DUMMYFUNCTION("""COMPUTED_VALUE"""),183.25)</f>
        <v>183.25</v>
      </c>
      <c r="F335" s="3">
        <f>IFERROR(__xludf.DUMMYFUNCTION("""COMPUTED_VALUE"""),1.07343231E8)</f>
        <v>107343231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>
        <f>IFERROR(__xludf.DUMMYFUNCTION("""COMPUTED_VALUE"""),45320.66666666667)</f>
        <v>45320.66667</v>
      </c>
      <c r="B336" s="3">
        <f>IFERROR(__xludf.DUMMYFUNCTION("""COMPUTED_VALUE"""),185.63)</f>
        <v>185.63</v>
      </c>
      <c r="C336" s="3">
        <f>IFERROR(__xludf.DUMMYFUNCTION("""COMPUTED_VALUE"""),191.48)</f>
        <v>191.48</v>
      </c>
      <c r="D336" s="3">
        <f>IFERROR(__xludf.DUMMYFUNCTION("""COMPUTED_VALUE"""),183.67)</f>
        <v>183.67</v>
      </c>
      <c r="E336" s="3">
        <f>IFERROR(__xludf.DUMMYFUNCTION("""COMPUTED_VALUE"""),190.93)</f>
        <v>190.93</v>
      </c>
      <c r="F336" s="3">
        <f>IFERROR(__xludf.DUMMYFUNCTION("""COMPUTED_VALUE"""),1.25013148E8)</f>
        <v>125013148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>
        <f>IFERROR(__xludf.DUMMYFUNCTION("""COMPUTED_VALUE"""),45321.66666666667)</f>
        <v>45321.66667</v>
      </c>
      <c r="B337" s="3">
        <f>IFERROR(__xludf.DUMMYFUNCTION("""COMPUTED_VALUE"""),195.33)</f>
        <v>195.33</v>
      </c>
      <c r="C337" s="3">
        <f>IFERROR(__xludf.DUMMYFUNCTION("""COMPUTED_VALUE"""),196.36)</f>
        <v>196.36</v>
      </c>
      <c r="D337" s="3">
        <f>IFERROR(__xludf.DUMMYFUNCTION("""COMPUTED_VALUE"""),190.61)</f>
        <v>190.61</v>
      </c>
      <c r="E337" s="3">
        <f>IFERROR(__xludf.DUMMYFUNCTION("""COMPUTED_VALUE"""),191.59)</f>
        <v>191.59</v>
      </c>
      <c r="F337" s="3">
        <f>IFERROR(__xludf.DUMMYFUNCTION("""COMPUTED_VALUE"""),1.09982327E8)</f>
        <v>109982327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>
        <f>IFERROR(__xludf.DUMMYFUNCTION("""COMPUTED_VALUE"""),45322.66666666667)</f>
        <v>45322.66667</v>
      </c>
      <c r="B338" s="3">
        <f>IFERROR(__xludf.DUMMYFUNCTION("""COMPUTED_VALUE"""),187.0)</f>
        <v>187</v>
      </c>
      <c r="C338" s="3">
        <f>IFERROR(__xludf.DUMMYFUNCTION("""COMPUTED_VALUE"""),193.97)</f>
        <v>193.97</v>
      </c>
      <c r="D338" s="3">
        <f>IFERROR(__xludf.DUMMYFUNCTION("""COMPUTED_VALUE"""),185.85)</f>
        <v>185.85</v>
      </c>
      <c r="E338" s="3">
        <f>IFERROR(__xludf.DUMMYFUNCTION("""COMPUTED_VALUE"""),187.29)</f>
        <v>187.29</v>
      </c>
      <c r="F338" s="3">
        <f>IFERROR(__xludf.DUMMYFUNCTION("""COMPUTED_VALUE"""),1.0322143E8)</f>
        <v>103221430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>
        <f>IFERROR(__xludf.DUMMYFUNCTION("""COMPUTED_VALUE"""),45323.66666666667)</f>
        <v>45323.66667</v>
      </c>
      <c r="B339" s="3">
        <f>IFERROR(__xludf.DUMMYFUNCTION("""COMPUTED_VALUE"""),188.5)</f>
        <v>188.5</v>
      </c>
      <c r="C339" s="3">
        <f>IFERROR(__xludf.DUMMYFUNCTION("""COMPUTED_VALUE"""),189.88)</f>
        <v>189.88</v>
      </c>
      <c r="D339" s="3">
        <f>IFERROR(__xludf.DUMMYFUNCTION("""COMPUTED_VALUE"""),184.28)</f>
        <v>184.28</v>
      </c>
      <c r="E339" s="3">
        <f>IFERROR(__xludf.DUMMYFUNCTION("""COMPUTED_VALUE"""),188.86)</f>
        <v>188.86</v>
      </c>
      <c r="F339" s="3">
        <f>IFERROR(__xludf.DUMMYFUNCTION("""COMPUTED_VALUE"""),9.1843275E7)</f>
        <v>91843275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>
        <f>IFERROR(__xludf.DUMMYFUNCTION("""COMPUTED_VALUE"""),45324.66666666667)</f>
        <v>45324.66667</v>
      </c>
      <c r="B340" s="3">
        <f>IFERROR(__xludf.DUMMYFUNCTION("""COMPUTED_VALUE"""),185.04)</f>
        <v>185.04</v>
      </c>
      <c r="C340" s="3">
        <f>IFERROR(__xludf.DUMMYFUNCTION("""COMPUTED_VALUE"""),188.69)</f>
        <v>188.69</v>
      </c>
      <c r="D340" s="3">
        <f>IFERROR(__xludf.DUMMYFUNCTION("""COMPUTED_VALUE"""),182.0)</f>
        <v>182</v>
      </c>
      <c r="E340" s="3">
        <f>IFERROR(__xludf.DUMMYFUNCTION("""COMPUTED_VALUE"""),187.91)</f>
        <v>187.91</v>
      </c>
      <c r="F340" s="3">
        <f>IFERROR(__xludf.DUMMYFUNCTION("""COMPUTED_VALUE"""),1.10612672E8)</f>
        <v>110612672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>
        <f>IFERROR(__xludf.DUMMYFUNCTION("""COMPUTED_VALUE"""),45327.66666666667)</f>
        <v>45327.66667</v>
      </c>
      <c r="B341" s="3">
        <f>IFERROR(__xludf.DUMMYFUNCTION("""COMPUTED_VALUE"""),184.26)</f>
        <v>184.26</v>
      </c>
      <c r="C341" s="3">
        <f>IFERROR(__xludf.DUMMYFUNCTION("""COMPUTED_VALUE"""),184.68)</f>
        <v>184.68</v>
      </c>
      <c r="D341" s="3">
        <f>IFERROR(__xludf.DUMMYFUNCTION("""COMPUTED_VALUE"""),175.01)</f>
        <v>175.01</v>
      </c>
      <c r="E341" s="3">
        <f>IFERROR(__xludf.DUMMYFUNCTION("""COMPUTED_VALUE"""),181.06)</f>
        <v>181.06</v>
      </c>
      <c r="F341" s="3">
        <f>IFERROR(__xludf.DUMMYFUNCTION("""COMPUTED_VALUE"""),1.34294447E8)</f>
        <v>134294447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>
        <f>IFERROR(__xludf.DUMMYFUNCTION("""COMPUTED_VALUE"""),45328.66666666667)</f>
        <v>45328.66667</v>
      </c>
      <c r="B342" s="3">
        <f>IFERROR(__xludf.DUMMYFUNCTION("""COMPUTED_VALUE"""),177.21)</f>
        <v>177.21</v>
      </c>
      <c r="C342" s="3">
        <f>IFERROR(__xludf.DUMMYFUNCTION("""COMPUTED_VALUE"""),186.49)</f>
        <v>186.49</v>
      </c>
      <c r="D342" s="3">
        <f>IFERROR(__xludf.DUMMYFUNCTION("""COMPUTED_VALUE"""),177.11)</f>
        <v>177.11</v>
      </c>
      <c r="E342" s="3">
        <f>IFERROR(__xludf.DUMMYFUNCTION("""COMPUTED_VALUE"""),185.1)</f>
        <v>185.1</v>
      </c>
      <c r="F342" s="3">
        <f>IFERROR(__xludf.DUMMYFUNCTION("""COMPUTED_VALUE"""),1.22675954E8)</f>
        <v>122675954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>
        <f>IFERROR(__xludf.DUMMYFUNCTION("""COMPUTED_VALUE"""),45329.66666666667)</f>
        <v>45329.66667</v>
      </c>
      <c r="B343" s="3">
        <f>IFERROR(__xludf.DUMMYFUNCTION("""COMPUTED_VALUE"""),188.18)</f>
        <v>188.18</v>
      </c>
      <c r="C343" s="3">
        <f>IFERROR(__xludf.DUMMYFUNCTION("""COMPUTED_VALUE"""),189.79)</f>
        <v>189.79</v>
      </c>
      <c r="D343" s="3">
        <f>IFERROR(__xludf.DUMMYFUNCTION("""COMPUTED_VALUE"""),182.68)</f>
        <v>182.68</v>
      </c>
      <c r="E343" s="3">
        <f>IFERROR(__xludf.DUMMYFUNCTION("""COMPUTED_VALUE"""),187.58)</f>
        <v>187.58</v>
      </c>
      <c r="F343" s="3">
        <f>IFERROR(__xludf.DUMMYFUNCTION("""COMPUTED_VALUE"""),1.11535217E8)</f>
        <v>111535217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>
        <f>IFERROR(__xludf.DUMMYFUNCTION("""COMPUTED_VALUE"""),45330.66666666667)</f>
        <v>45330.66667</v>
      </c>
      <c r="B344" s="3">
        <f>IFERROR(__xludf.DUMMYFUNCTION("""COMPUTED_VALUE"""),189.0)</f>
        <v>189</v>
      </c>
      <c r="C344" s="3">
        <f>IFERROR(__xludf.DUMMYFUNCTION("""COMPUTED_VALUE"""),191.62)</f>
        <v>191.62</v>
      </c>
      <c r="D344" s="3">
        <f>IFERROR(__xludf.DUMMYFUNCTION("""COMPUTED_VALUE"""),185.58)</f>
        <v>185.58</v>
      </c>
      <c r="E344" s="3">
        <f>IFERROR(__xludf.DUMMYFUNCTION("""COMPUTED_VALUE"""),189.56)</f>
        <v>189.56</v>
      </c>
      <c r="F344" s="3">
        <f>IFERROR(__xludf.DUMMYFUNCTION("""COMPUTED_VALUE"""),8.3034043E7)</f>
        <v>83034043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>
        <f>IFERROR(__xludf.DUMMYFUNCTION("""COMPUTED_VALUE"""),45331.66666666667)</f>
        <v>45331.66667</v>
      </c>
      <c r="B345" s="3">
        <f>IFERROR(__xludf.DUMMYFUNCTION("""COMPUTED_VALUE"""),190.18)</f>
        <v>190.18</v>
      </c>
      <c r="C345" s="3">
        <f>IFERROR(__xludf.DUMMYFUNCTION("""COMPUTED_VALUE"""),194.12)</f>
        <v>194.12</v>
      </c>
      <c r="D345" s="3">
        <f>IFERROR(__xludf.DUMMYFUNCTION("""COMPUTED_VALUE"""),189.48)</f>
        <v>189.48</v>
      </c>
      <c r="E345" s="3">
        <f>IFERROR(__xludf.DUMMYFUNCTION("""COMPUTED_VALUE"""),193.57)</f>
        <v>193.57</v>
      </c>
      <c r="F345" s="3">
        <f>IFERROR(__xludf.DUMMYFUNCTION("""COMPUTED_VALUE"""),8.4476347E7)</f>
        <v>84476347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>
        <f>IFERROR(__xludf.DUMMYFUNCTION("""COMPUTED_VALUE"""),45334.66666666667)</f>
        <v>45334.66667</v>
      </c>
      <c r="B346" s="3">
        <f>IFERROR(__xludf.DUMMYFUNCTION("""COMPUTED_VALUE"""),192.11)</f>
        <v>192.11</v>
      </c>
      <c r="C346" s="3">
        <f>IFERROR(__xludf.DUMMYFUNCTION("""COMPUTED_VALUE"""),194.73)</f>
        <v>194.73</v>
      </c>
      <c r="D346" s="3">
        <f>IFERROR(__xludf.DUMMYFUNCTION("""COMPUTED_VALUE"""),187.28)</f>
        <v>187.28</v>
      </c>
      <c r="E346" s="3">
        <f>IFERROR(__xludf.DUMMYFUNCTION("""COMPUTED_VALUE"""),188.13)</f>
        <v>188.13</v>
      </c>
      <c r="F346" s="3">
        <f>IFERROR(__xludf.DUMMYFUNCTION("""COMPUTED_VALUE"""),9.5498597E7)</f>
        <v>95498597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>
        <f>IFERROR(__xludf.DUMMYFUNCTION("""COMPUTED_VALUE"""),45335.66666666667)</f>
        <v>45335.66667</v>
      </c>
      <c r="B347" s="3">
        <f>IFERROR(__xludf.DUMMYFUNCTION("""COMPUTED_VALUE"""),183.99)</f>
        <v>183.99</v>
      </c>
      <c r="C347" s="3">
        <f>IFERROR(__xludf.DUMMYFUNCTION("""COMPUTED_VALUE"""),187.26)</f>
        <v>187.26</v>
      </c>
      <c r="D347" s="3">
        <f>IFERROR(__xludf.DUMMYFUNCTION("""COMPUTED_VALUE"""),182.11)</f>
        <v>182.11</v>
      </c>
      <c r="E347" s="3">
        <f>IFERROR(__xludf.DUMMYFUNCTION("""COMPUTED_VALUE"""),184.02)</f>
        <v>184.02</v>
      </c>
      <c r="F347" s="3">
        <f>IFERROR(__xludf.DUMMYFUNCTION("""COMPUTED_VALUE"""),8.6759478E7)</f>
        <v>86759478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>
        <f>IFERROR(__xludf.DUMMYFUNCTION("""COMPUTED_VALUE"""),45336.66666666667)</f>
        <v>45336.66667</v>
      </c>
      <c r="B348" s="3">
        <f>IFERROR(__xludf.DUMMYFUNCTION("""COMPUTED_VALUE"""),185.3)</f>
        <v>185.3</v>
      </c>
      <c r="C348" s="3">
        <f>IFERROR(__xludf.DUMMYFUNCTION("""COMPUTED_VALUE"""),188.89)</f>
        <v>188.89</v>
      </c>
      <c r="D348" s="3">
        <f>IFERROR(__xludf.DUMMYFUNCTION("""COMPUTED_VALUE"""),183.35)</f>
        <v>183.35</v>
      </c>
      <c r="E348" s="3">
        <f>IFERROR(__xludf.DUMMYFUNCTION("""COMPUTED_VALUE"""),188.71)</f>
        <v>188.71</v>
      </c>
      <c r="F348" s="3">
        <f>IFERROR(__xludf.DUMMYFUNCTION("""COMPUTED_VALUE"""),8.1202987E7)</f>
        <v>81202987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>
        <f>IFERROR(__xludf.DUMMYFUNCTION("""COMPUTED_VALUE"""),45337.66666666667)</f>
        <v>45337.66667</v>
      </c>
      <c r="B349" s="3">
        <f>IFERROR(__xludf.DUMMYFUNCTION("""COMPUTED_VALUE"""),189.16)</f>
        <v>189.16</v>
      </c>
      <c r="C349" s="3">
        <f>IFERROR(__xludf.DUMMYFUNCTION("""COMPUTED_VALUE"""),200.88)</f>
        <v>200.88</v>
      </c>
      <c r="D349" s="3">
        <f>IFERROR(__xludf.DUMMYFUNCTION("""COMPUTED_VALUE"""),188.86)</f>
        <v>188.86</v>
      </c>
      <c r="E349" s="3">
        <f>IFERROR(__xludf.DUMMYFUNCTION("""COMPUTED_VALUE"""),200.45)</f>
        <v>200.45</v>
      </c>
      <c r="F349" s="3">
        <f>IFERROR(__xludf.DUMMYFUNCTION("""COMPUTED_VALUE"""),1.20831762E8)</f>
        <v>120831762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>
        <f>IFERROR(__xludf.DUMMYFUNCTION("""COMPUTED_VALUE"""),45338.66666666667)</f>
        <v>45338.66667</v>
      </c>
      <c r="B350" s="3">
        <f>IFERROR(__xludf.DUMMYFUNCTION("""COMPUTED_VALUE"""),202.06)</f>
        <v>202.06</v>
      </c>
      <c r="C350" s="3">
        <f>IFERROR(__xludf.DUMMYFUNCTION("""COMPUTED_VALUE"""),203.17)</f>
        <v>203.17</v>
      </c>
      <c r="D350" s="3">
        <f>IFERROR(__xludf.DUMMYFUNCTION("""COMPUTED_VALUE"""),197.4)</f>
        <v>197.4</v>
      </c>
      <c r="E350" s="3">
        <f>IFERROR(__xludf.DUMMYFUNCTION("""COMPUTED_VALUE"""),199.95)</f>
        <v>199.95</v>
      </c>
      <c r="F350" s="3">
        <f>IFERROR(__xludf.DUMMYFUNCTION("""COMPUTED_VALUE"""),1.11346705E8)</f>
        <v>111346705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>
        <f>IFERROR(__xludf.DUMMYFUNCTION("""COMPUTED_VALUE"""),45342.66666666667)</f>
        <v>45342.66667</v>
      </c>
      <c r="B351" s="3">
        <f>IFERROR(__xludf.DUMMYFUNCTION("""COMPUTED_VALUE"""),196.13)</f>
        <v>196.13</v>
      </c>
      <c r="C351" s="3">
        <f>IFERROR(__xludf.DUMMYFUNCTION("""COMPUTED_VALUE"""),198.6)</f>
        <v>198.6</v>
      </c>
      <c r="D351" s="3">
        <f>IFERROR(__xludf.DUMMYFUNCTION("""COMPUTED_VALUE"""),189.13)</f>
        <v>189.13</v>
      </c>
      <c r="E351" s="3">
        <f>IFERROR(__xludf.DUMMYFUNCTION("""COMPUTED_VALUE"""),193.76)</f>
        <v>193.76</v>
      </c>
      <c r="F351" s="3">
        <f>IFERROR(__xludf.DUMMYFUNCTION("""COMPUTED_VALUE"""),1.04545762E8)</f>
        <v>104545762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>
        <f>IFERROR(__xludf.DUMMYFUNCTION("""COMPUTED_VALUE"""),45343.66666666667)</f>
        <v>45343.66667</v>
      </c>
      <c r="B352" s="3">
        <f>IFERROR(__xludf.DUMMYFUNCTION("""COMPUTED_VALUE"""),193.36)</f>
        <v>193.36</v>
      </c>
      <c r="C352" s="3">
        <f>IFERROR(__xludf.DUMMYFUNCTION("""COMPUTED_VALUE"""),199.44)</f>
        <v>199.44</v>
      </c>
      <c r="D352" s="3">
        <f>IFERROR(__xludf.DUMMYFUNCTION("""COMPUTED_VALUE"""),191.95)</f>
        <v>191.95</v>
      </c>
      <c r="E352" s="3">
        <f>IFERROR(__xludf.DUMMYFUNCTION("""COMPUTED_VALUE"""),194.77)</f>
        <v>194.77</v>
      </c>
      <c r="F352" s="3">
        <f>IFERROR(__xludf.DUMMYFUNCTION("""COMPUTED_VALUE"""),1.03844008E8)</f>
        <v>103844008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">
        <f>IFERROR(__xludf.DUMMYFUNCTION("""COMPUTED_VALUE"""),45344.66666666667)</f>
        <v>45344.66667</v>
      </c>
      <c r="B353" s="3">
        <f>IFERROR(__xludf.DUMMYFUNCTION("""COMPUTED_VALUE"""),194.0)</f>
        <v>194</v>
      </c>
      <c r="C353" s="3">
        <f>IFERROR(__xludf.DUMMYFUNCTION("""COMPUTED_VALUE"""),198.32)</f>
        <v>198.32</v>
      </c>
      <c r="D353" s="3">
        <f>IFERROR(__xludf.DUMMYFUNCTION("""COMPUTED_VALUE"""),191.36)</f>
        <v>191.36</v>
      </c>
      <c r="E353" s="3">
        <f>IFERROR(__xludf.DUMMYFUNCTION("""COMPUTED_VALUE"""),197.41)</f>
        <v>197.41</v>
      </c>
      <c r="F353" s="3">
        <f>IFERROR(__xludf.DUMMYFUNCTION("""COMPUTED_VALUE"""),9.2739461E7)</f>
        <v>92739461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">
        <f>IFERROR(__xludf.DUMMYFUNCTION("""COMPUTED_VALUE"""),45345.66666666667)</f>
        <v>45345.66667</v>
      </c>
      <c r="B354" s="3">
        <f>IFERROR(__xludf.DUMMYFUNCTION("""COMPUTED_VALUE"""),195.31)</f>
        <v>195.31</v>
      </c>
      <c r="C354" s="3">
        <f>IFERROR(__xludf.DUMMYFUNCTION("""COMPUTED_VALUE"""),197.57)</f>
        <v>197.57</v>
      </c>
      <c r="D354" s="3">
        <f>IFERROR(__xludf.DUMMYFUNCTION("""COMPUTED_VALUE"""),191.5)</f>
        <v>191.5</v>
      </c>
      <c r="E354" s="3">
        <f>IFERROR(__xludf.DUMMYFUNCTION("""COMPUTED_VALUE"""),191.97)</f>
        <v>191.97</v>
      </c>
      <c r="F354" s="3">
        <f>IFERROR(__xludf.DUMMYFUNCTION("""COMPUTED_VALUE"""),7.8841917E7)</f>
        <v>78841917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>
        <f>IFERROR(__xludf.DUMMYFUNCTION("""COMPUTED_VALUE"""),45348.66666666667)</f>
        <v>45348.66667</v>
      </c>
      <c r="B355" s="3">
        <f>IFERROR(__xludf.DUMMYFUNCTION("""COMPUTED_VALUE"""),192.29)</f>
        <v>192.29</v>
      </c>
      <c r="C355" s="3">
        <f>IFERROR(__xludf.DUMMYFUNCTION("""COMPUTED_VALUE"""),201.78)</f>
        <v>201.78</v>
      </c>
      <c r="D355" s="3">
        <f>IFERROR(__xludf.DUMMYFUNCTION("""COMPUTED_VALUE"""),192.0)</f>
        <v>192</v>
      </c>
      <c r="E355" s="3">
        <f>IFERROR(__xludf.DUMMYFUNCTION("""COMPUTED_VALUE"""),199.4)</f>
        <v>199.4</v>
      </c>
      <c r="F355" s="3">
        <f>IFERROR(__xludf.DUMMYFUNCTION("""COMPUTED_VALUE"""),1.11747116E8)</f>
        <v>111747116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>
        <f>IFERROR(__xludf.DUMMYFUNCTION("""COMPUTED_VALUE"""),45349.66666666667)</f>
        <v>45349.66667</v>
      </c>
      <c r="B356" s="3">
        <f>IFERROR(__xludf.DUMMYFUNCTION("""COMPUTED_VALUE"""),204.04)</f>
        <v>204.04</v>
      </c>
      <c r="C356" s="3">
        <f>IFERROR(__xludf.DUMMYFUNCTION("""COMPUTED_VALUE"""),205.6)</f>
        <v>205.6</v>
      </c>
      <c r="D356" s="3">
        <f>IFERROR(__xludf.DUMMYFUNCTION("""COMPUTED_VALUE"""),198.26)</f>
        <v>198.26</v>
      </c>
      <c r="E356" s="3">
        <f>IFERROR(__xludf.DUMMYFUNCTION("""COMPUTED_VALUE"""),199.73)</f>
        <v>199.73</v>
      </c>
      <c r="F356" s="3">
        <f>IFERROR(__xludf.DUMMYFUNCTION("""COMPUTED_VALUE"""),1.08645412E8)</f>
        <v>108645412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>
        <f>IFERROR(__xludf.DUMMYFUNCTION("""COMPUTED_VALUE"""),45350.66666666667)</f>
        <v>45350.66667</v>
      </c>
      <c r="B357" s="3">
        <f>IFERROR(__xludf.DUMMYFUNCTION("""COMPUTED_VALUE"""),200.42)</f>
        <v>200.42</v>
      </c>
      <c r="C357" s="3">
        <f>IFERROR(__xludf.DUMMYFUNCTION("""COMPUTED_VALUE"""),205.3)</f>
        <v>205.3</v>
      </c>
      <c r="D357" s="3">
        <f>IFERROR(__xludf.DUMMYFUNCTION("""COMPUTED_VALUE"""),198.44)</f>
        <v>198.44</v>
      </c>
      <c r="E357" s="3">
        <f>IFERROR(__xludf.DUMMYFUNCTION("""COMPUTED_VALUE"""),202.04)</f>
        <v>202.04</v>
      </c>
      <c r="F357" s="3">
        <f>IFERROR(__xludf.DUMMYFUNCTION("""COMPUTED_VALUE"""),9.9806173E7)</f>
        <v>99806173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>
        <f>IFERROR(__xludf.DUMMYFUNCTION("""COMPUTED_VALUE"""),45351.66666666667)</f>
        <v>45351.66667</v>
      </c>
      <c r="B358" s="3">
        <f>IFERROR(__xludf.DUMMYFUNCTION("""COMPUTED_VALUE"""),204.18)</f>
        <v>204.18</v>
      </c>
      <c r="C358" s="3">
        <f>IFERROR(__xludf.DUMMYFUNCTION("""COMPUTED_VALUE"""),205.28)</f>
        <v>205.28</v>
      </c>
      <c r="D358" s="3">
        <f>IFERROR(__xludf.DUMMYFUNCTION("""COMPUTED_VALUE"""),198.45)</f>
        <v>198.45</v>
      </c>
      <c r="E358" s="3">
        <f>IFERROR(__xludf.DUMMYFUNCTION("""COMPUTED_VALUE"""),201.88)</f>
        <v>201.88</v>
      </c>
      <c r="F358" s="3">
        <f>IFERROR(__xludf.DUMMYFUNCTION("""COMPUTED_VALUE"""),8.5906974E7)</f>
        <v>85906974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>
        <f>IFERROR(__xludf.DUMMYFUNCTION("""COMPUTED_VALUE"""),45352.66666666667)</f>
        <v>45352.66667</v>
      </c>
      <c r="B359" s="3">
        <f>IFERROR(__xludf.DUMMYFUNCTION("""COMPUTED_VALUE"""),200.52)</f>
        <v>200.52</v>
      </c>
      <c r="C359" s="3">
        <f>IFERROR(__xludf.DUMMYFUNCTION("""COMPUTED_VALUE"""),204.52)</f>
        <v>204.52</v>
      </c>
      <c r="D359" s="3">
        <f>IFERROR(__xludf.DUMMYFUNCTION("""COMPUTED_VALUE"""),198.5)</f>
        <v>198.5</v>
      </c>
      <c r="E359" s="3">
        <f>IFERROR(__xludf.DUMMYFUNCTION("""COMPUTED_VALUE"""),202.64)</f>
        <v>202.64</v>
      </c>
      <c r="F359" s="3">
        <f>IFERROR(__xludf.DUMMYFUNCTION("""COMPUTED_VALUE"""),8.2243119E7)</f>
        <v>82243119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>
        <f>IFERROR(__xludf.DUMMYFUNCTION("""COMPUTED_VALUE"""),45355.66666666667)</f>
        <v>45355.66667</v>
      </c>
      <c r="B360" s="3">
        <f>IFERROR(__xludf.DUMMYFUNCTION("""COMPUTED_VALUE"""),198.73)</f>
        <v>198.73</v>
      </c>
      <c r="C360" s="3">
        <f>IFERROR(__xludf.DUMMYFUNCTION("""COMPUTED_VALUE"""),199.75)</f>
        <v>199.75</v>
      </c>
      <c r="D360" s="3">
        <f>IFERROR(__xludf.DUMMYFUNCTION("""COMPUTED_VALUE"""),186.72)</f>
        <v>186.72</v>
      </c>
      <c r="E360" s="3">
        <f>IFERROR(__xludf.DUMMYFUNCTION("""COMPUTED_VALUE"""),188.14)</f>
        <v>188.14</v>
      </c>
      <c r="F360" s="3">
        <f>IFERROR(__xludf.DUMMYFUNCTION("""COMPUTED_VALUE"""),1.34334869E8)</f>
        <v>134334869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>
        <f>IFERROR(__xludf.DUMMYFUNCTION("""COMPUTED_VALUE"""),45356.66666666667)</f>
        <v>45356.66667</v>
      </c>
      <c r="B361" s="3">
        <f>IFERROR(__xludf.DUMMYFUNCTION("""COMPUTED_VALUE"""),183.05)</f>
        <v>183.05</v>
      </c>
      <c r="C361" s="3">
        <f>IFERROR(__xludf.DUMMYFUNCTION("""COMPUTED_VALUE"""),184.59)</f>
        <v>184.59</v>
      </c>
      <c r="D361" s="3">
        <f>IFERROR(__xludf.DUMMYFUNCTION("""COMPUTED_VALUE"""),177.57)</f>
        <v>177.57</v>
      </c>
      <c r="E361" s="3">
        <f>IFERROR(__xludf.DUMMYFUNCTION("""COMPUTED_VALUE"""),180.74)</f>
        <v>180.74</v>
      </c>
      <c r="F361" s="3">
        <f>IFERROR(__xludf.DUMMYFUNCTION("""COMPUTED_VALUE"""),1.19660758E8)</f>
        <v>119660758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>
        <f>IFERROR(__xludf.DUMMYFUNCTION("""COMPUTED_VALUE"""),45357.66666666667)</f>
        <v>45357.66667</v>
      </c>
      <c r="B362" s="3">
        <f>IFERROR(__xludf.DUMMYFUNCTION("""COMPUTED_VALUE"""),179.99)</f>
        <v>179.99</v>
      </c>
      <c r="C362" s="3">
        <f>IFERROR(__xludf.DUMMYFUNCTION("""COMPUTED_VALUE"""),181.58)</f>
        <v>181.58</v>
      </c>
      <c r="D362" s="3">
        <f>IFERROR(__xludf.DUMMYFUNCTION("""COMPUTED_VALUE"""),173.7)</f>
        <v>173.7</v>
      </c>
      <c r="E362" s="3">
        <f>IFERROR(__xludf.DUMMYFUNCTION("""COMPUTED_VALUE"""),176.54)</f>
        <v>176.54</v>
      </c>
      <c r="F362" s="3">
        <f>IFERROR(__xludf.DUMMYFUNCTION("""COMPUTED_VALUE"""),1.07920944E8)</f>
        <v>107920944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>
        <f>IFERROR(__xludf.DUMMYFUNCTION("""COMPUTED_VALUE"""),45358.66666666667)</f>
        <v>45358.66667</v>
      </c>
      <c r="B363" s="3">
        <f>IFERROR(__xludf.DUMMYFUNCTION("""COMPUTED_VALUE"""),174.35)</f>
        <v>174.35</v>
      </c>
      <c r="C363" s="3">
        <f>IFERROR(__xludf.DUMMYFUNCTION("""COMPUTED_VALUE"""),180.04)</f>
        <v>180.04</v>
      </c>
      <c r="D363" s="3">
        <f>IFERROR(__xludf.DUMMYFUNCTION("""COMPUTED_VALUE"""),173.7)</f>
        <v>173.7</v>
      </c>
      <c r="E363" s="3">
        <f>IFERROR(__xludf.DUMMYFUNCTION("""COMPUTED_VALUE"""),178.65)</f>
        <v>178.65</v>
      </c>
      <c r="F363" s="3">
        <f>IFERROR(__xludf.DUMMYFUNCTION("""COMPUTED_VALUE"""),1.02129004E8)</f>
        <v>102129004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>
        <f>IFERROR(__xludf.DUMMYFUNCTION("""COMPUTED_VALUE"""),45359.66666666667)</f>
        <v>45359.66667</v>
      </c>
      <c r="B364" s="3">
        <f>IFERROR(__xludf.DUMMYFUNCTION("""COMPUTED_VALUE"""),181.5)</f>
        <v>181.5</v>
      </c>
      <c r="C364" s="3">
        <f>IFERROR(__xludf.DUMMYFUNCTION("""COMPUTED_VALUE"""),182.73)</f>
        <v>182.73</v>
      </c>
      <c r="D364" s="3">
        <f>IFERROR(__xludf.DUMMYFUNCTION("""COMPUTED_VALUE"""),174.7)</f>
        <v>174.7</v>
      </c>
      <c r="E364" s="3">
        <f>IFERROR(__xludf.DUMMYFUNCTION("""COMPUTED_VALUE"""),175.34)</f>
        <v>175.34</v>
      </c>
      <c r="F364" s="3">
        <f>IFERROR(__xludf.DUMMYFUNCTION("""COMPUTED_VALUE"""),8.5544644E7)</f>
        <v>85544644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>
        <f>IFERROR(__xludf.DUMMYFUNCTION("""COMPUTED_VALUE"""),45362.66666666667)</f>
        <v>45362.66667</v>
      </c>
      <c r="B365" s="3">
        <f>IFERROR(__xludf.DUMMYFUNCTION("""COMPUTED_VALUE"""),175.45)</f>
        <v>175.45</v>
      </c>
      <c r="C365" s="3">
        <f>IFERROR(__xludf.DUMMYFUNCTION("""COMPUTED_VALUE"""),182.87)</f>
        <v>182.87</v>
      </c>
      <c r="D365" s="3">
        <f>IFERROR(__xludf.DUMMYFUNCTION("""COMPUTED_VALUE"""),174.8)</f>
        <v>174.8</v>
      </c>
      <c r="E365" s="3">
        <f>IFERROR(__xludf.DUMMYFUNCTION("""COMPUTED_VALUE"""),177.77)</f>
        <v>177.77</v>
      </c>
      <c r="F365" s="3">
        <f>IFERROR(__xludf.DUMMYFUNCTION("""COMPUTED_VALUE"""),8.5391528E7)</f>
        <v>85391528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>
        <f>IFERROR(__xludf.DUMMYFUNCTION("""COMPUTED_VALUE"""),45363.66666666667)</f>
        <v>45363.66667</v>
      </c>
      <c r="B366" s="3">
        <f>IFERROR(__xludf.DUMMYFUNCTION("""COMPUTED_VALUE"""),177.77)</f>
        <v>177.77</v>
      </c>
      <c r="C366" s="3">
        <f>IFERROR(__xludf.DUMMYFUNCTION("""COMPUTED_VALUE"""),179.43)</f>
        <v>179.43</v>
      </c>
      <c r="D366" s="3">
        <f>IFERROR(__xludf.DUMMYFUNCTION("""COMPUTED_VALUE"""),172.41)</f>
        <v>172.41</v>
      </c>
      <c r="E366" s="3">
        <f>IFERROR(__xludf.DUMMYFUNCTION("""COMPUTED_VALUE"""),177.54)</f>
        <v>177.54</v>
      </c>
      <c r="F366" s="3">
        <f>IFERROR(__xludf.DUMMYFUNCTION("""COMPUTED_VALUE"""),8.7391684E7)</f>
        <v>87391684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>
        <f>IFERROR(__xludf.DUMMYFUNCTION("""COMPUTED_VALUE"""),45364.66666666667)</f>
        <v>45364.66667</v>
      </c>
      <c r="B367" s="3">
        <f>IFERROR(__xludf.DUMMYFUNCTION("""COMPUTED_VALUE"""),173.05)</f>
        <v>173.05</v>
      </c>
      <c r="C367" s="3">
        <f>IFERROR(__xludf.DUMMYFUNCTION("""COMPUTED_VALUE"""),176.05)</f>
        <v>176.05</v>
      </c>
      <c r="D367" s="3">
        <f>IFERROR(__xludf.DUMMYFUNCTION("""COMPUTED_VALUE"""),169.15)</f>
        <v>169.15</v>
      </c>
      <c r="E367" s="3">
        <f>IFERROR(__xludf.DUMMYFUNCTION("""COMPUTED_VALUE"""),169.48)</f>
        <v>169.48</v>
      </c>
      <c r="F367" s="3">
        <f>IFERROR(__xludf.DUMMYFUNCTION("""COMPUTED_VALUE"""),1.06524518E8)</f>
        <v>106524518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>
        <f>IFERROR(__xludf.DUMMYFUNCTION("""COMPUTED_VALUE"""),45365.66666666667)</f>
        <v>45365.66667</v>
      </c>
      <c r="B368" s="3">
        <f>IFERROR(__xludf.DUMMYFUNCTION("""COMPUTED_VALUE"""),167.77)</f>
        <v>167.77</v>
      </c>
      <c r="C368" s="3">
        <f>IFERROR(__xludf.DUMMYFUNCTION("""COMPUTED_VALUE"""),171.17)</f>
        <v>171.17</v>
      </c>
      <c r="D368" s="3">
        <f>IFERROR(__xludf.DUMMYFUNCTION("""COMPUTED_VALUE"""),160.51)</f>
        <v>160.51</v>
      </c>
      <c r="E368" s="3">
        <f>IFERROR(__xludf.DUMMYFUNCTION("""COMPUTED_VALUE"""),162.5)</f>
        <v>162.5</v>
      </c>
      <c r="F368" s="3">
        <f>IFERROR(__xludf.DUMMYFUNCTION("""COMPUTED_VALUE"""),1.26325696E8)</f>
        <v>126325696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>
        <f>IFERROR(__xludf.DUMMYFUNCTION("""COMPUTED_VALUE"""),45366.66666666667)</f>
        <v>45366.66667</v>
      </c>
      <c r="B369" s="3">
        <f>IFERROR(__xludf.DUMMYFUNCTION("""COMPUTED_VALUE"""),163.16)</f>
        <v>163.16</v>
      </c>
      <c r="C369" s="3">
        <f>IFERROR(__xludf.DUMMYFUNCTION("""COMPUTED_VALUE"""),165.18)</f>
        <v>165.18</v>
      </c>
      <c r="D369" s="3">
        <f>IFERROR(__xludf.DUMMYFUNCTION("""COMPUTED_VALUE"""),160.76)</f>
        <v>160.76</v>
      </c>
      <c r="E369" s="3">
        <f>IFERROR(__xludf.DUMMYFUNCTION("""COMPUTED_VALUE"""),163.57)</f>
        <v>163.57</v>
      </c>
      <c r="F369" s="3">
        <f>IFERROR(__xludf.DUMMYFUNCTION("""COMPUTED_VALUE"""),9.7146832E7)</f>
        <v>97146832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>
        <f>IFERROR(__xludf.DUMMYFUNCTION("""COMPUTED_VALUE"""),45369.66666666667)</f>
        <v>45369.66667</v>
      </c>
      <c r="B370" s="3">
        <f>IFERROR(__xludf.DUMMYFUNCTION("""COMPUTED_VALUE"""),170.02)</f>
        <v>170.02</v>
      </c>
      <c r="C370" s="3">
        <f>IFERROR(__xludf.DUMMYFUNCTION("""COMPUTED_VALUE"""),174.72)</f>
        <v>174.72</v>
      </c>
      <c r="D370" s="3">
        <f>IFERROR(__xludf.DUMMYFUNCTION("""COMPUTED_VALUE"""),165.9)</f>
        <v>165.9</v>
      </c>
      <c r="E370" s="3">
        <f>IFERROR(__xludf.DUMMYFUNCTION("""COMPUTED_VALUE"""),173.8)</f>
        <v>173.8</v>
      </c>
      <c r="F370" s="3">
        <f>IFERROR(__xludf.DUMMYFUNCTION("""COMPUTED_VALUE"""),1.08214358E8)</f>
        <v>108214358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>
        <f>IFERROR(__xludf.DUMMYFUNCTION("""COMPUTED_VALUE"""),45370.66666666667)</f>
        <v>45370.66667</v>
      </c>
      <c r="B371" s="3">
        <f>IFERROR(__xludf.DUMMYFUNCTION("""COMPUTED_VALUE"""),172.36)</f>
        <v>172.36</v>
      </c>
      <c r="C371" s="3">
        <f>IFERROR(__xludf.DUMMYFUNCTION("""COMPUTED_VALUE"""),172.82)</f>
        <v>172.82</v>
      </c>
      <c r="D371" s="3">
        <f>IFERROR(__xludf.DUMMYFUNCTION("""COMPUTED_VALUE"""),167.42)</f>
        <v>167.42</v>
      </c>
      <c r="E371" s="3">
        <f>IFERROR(__xludf.DUMMYFUNCTION("""COMPUTED_VALUE"""),171.32)</f>
        <v>171.32</v>
      </c>
      <c r="F371" s="3">
        <f>IFERROR(__xludf.DUMMYFUNCTION("""COMPUTED_VALUE"""),7.7271428E7)</f>
        <v>77271428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">
        <f>IFERROR(__xludf.DUMMYFUNCTION("""COMPUTED_VALUE"""),45371.66666666667)</f>
        <v>45371.66667</v>
      </c>
      <c r="B372" s="3">
        <f>IFERROR(__xludf.DUMMYFUNCTION("""COMPUTED_VALUE"""),173.0)</f>
        <v>173</v>
      </c>
      <c r="C372" s="3">
        <f>IFERROR(__xludf.DUMMYFUNCTION("""COMPUTED_VALUE"""),176.25)</f>
        <v>176.25</v>
      </c>
      <c r="D372" s="3">
        <f>IFERROR(__xludf.DUMMYFUNCTION("""COMPUTED_VALUE"""),170.82)</f>
        <v>170.82</v>
      </c>
      <c r="E372" s="3">
        <f>IFERROR(__xludf.DUMMYFUNCTION("""COMPUTED_VALUE"""),175.66)</f>
        <v>175.66</v>
      </c>
      <c r="F372" s="3">
        <f>IFERROR(__xludf.DUMMYFUNCTION("""COMPUTED_VALUE"""),8.3846726E7)</f>
        <v>83846726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">
        <f>IFERROR(__xludf.DUMMYFUNCTION("""COMPUTED_VALUE"""),45372.66666666667)</f>
        <v>45372.66667</v>
      </c>
      <c r="B373" s="3">
        <f>IFERROR(__xludf.DUMMYFUNCTION("""COMPUTED_VALUE"""),176.39)</f>
        <v>176.39</v>
      </c>
      <c r="C373" s="3">
        <f>IFERROR(__xludf.DUMMYFUNCTION("""COMPUTED_VALUE"""),178.18)</f>
        <v>178.18</v>
      </c>
      <c r="D373" s="3">
        <f>IFERROR(__xludf.DUMMYFUNCTION("""COMPUTED_VALUE"""),171.8)</f>
        <v>171.8</v>
      </c>
      <c r="E373" s="3">
        <f>IFERROR(__xludf.DUMMYFUNCTION("""COMPUTED_VALUE"""),172.82)</f>
        <v>172.82</v>
      </c>
      <c r="F373" s="3">
        <f>IFERROR(__xludf.DUMMYFUNCTION("""COMPUTED_VALUE"""),7.3178014E7)</f>
        <v>73178014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>
        <f>IFERROR(__xludf.DUMMYFUNCTION("""COMPUTED_VALUE"""),45373.66666666667)</f>
        <v>45373.66667</v>
      </c>
      <c r="B374" s="3">
        <f>IFERROR(__xludf.DUMMYFUNCTION("""COMPUTED_VALUE"""),166.69)</f>
        <v>166.69</v>
      </c>
      <c r="C374" s="3">
        <f>IFERROR(__xludf.DUMMYFUNCTION("""COMPUTED_VALUE"""),171.2)</f>
        <v>171.2</v>
      </c>
      <c r="D374" s="3">
        <f>IFERROR(__xludf.DUMMYFUNCTION("""COMPUTED_VALUE"""),166.3)</f>
        <v>166.3</v>
      </c>
      <c r="E374" s="3">
        <f>IFERROR(__xludf.DUMMYFUNCTION("""COMPUTED_VALUE"""),170.83)</f>
        <v>170.83</v>
      </c>
      <c r="F374" s="3">
        <f>IFERROR(__xludf.DUMMYFUNCTION("""COMPUTED_VALUE"""),7.5580637E7)</f>
        <v>75580637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>
        <f>IFERROR(__xludf.DUMMYFUNCTION("""COMPUTED_VALUE"""),45376.66666666667)</f>
        <v>45376.66667</v>
      </c>
      <c r="B375" s="3">
        <f>IFERROR(__xludf.DUMMYFUNCTION("""COMPUTED_VALUE"""),168.76)</f>
        <v>168.76</v>
      </c>
      <c r="C375" s="3">
        <f>IFERROR(__xludf.DUMMYFUNCTION("""COMPUTED_VALUE"""),175.24)</f>
        <v>175.24</v>
      </c>
      <c r="D375" s="3">
        <f>IFERROR(__xludf.DUMMYFUNCTION("""COMPUTED_VALUE"""),168.73)</f>
        <v>168.73</v>
      </c>
      <c r="E375" s="3">
        <f>IFERROR(__xludf.DUMMYFUNCTION("""COMPUTED_VALUE"""),172.63)</f>
        <v>172.63</v>
      </c>
      <c r="F375" s="3">
        <f>IFERROR(__xludf.DUMMYFUNCTION("""COMPUTED_VALUE"""),7.4228615E7)</f>
        <v>74228615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>
        <f>IFERROR(__xludf.DUMMYFUNCTION("""COMPUTED_VALUE"""),45377.66666666667)</f>
        <v>45377.66667</v>
      </c>
      <c r="B376" s="3">
        <f>IFERROR(__xludf.DUMMYFUNCTION("""COMPUTED_VALUE"""),178.58)</f>
        <v>178.58</v>
      </c>
      <c r="C376" s="3">
        <f>IFERROR(__xludf.DUMMYFUNCTION("""COMPUTED_VALUE"""),184.25)</f>
        <v>184.25</v>
      </c>
      <c r="D376" s="3">
        <f>IFERROR(__xludf.DUMMYFUNCTION("""COMPUTED_VALUE"""),177.38)</f>
        <v>177.38</v>
      </c>
      <c r="E376" s="3">
        <f>IFERROR(__xludf.DUMMYFUNCTION("""COMPUTED_VALUE"""),177.67)</f>
        <v>177.67</v>
      </c>
      <c r="F376" s="3">
        <f>IFERROR(__xludf.DUMMYFUNCTION("""COMPUTED_VALUE"""),1.13186227E8)</f>
        <v>113186227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>
        <f>IFERROR(__xludf.DUMMYFUNCTION("""COMPUTED_VALUE"""),45378.66666666667)</f>
        <v>45378.66667</v>
      </c>
      <c r="B377" s="3">
        <f>IFERROR(__xludf.DUMMYFUNCTION("""COMPUTED_VALUE"""),181.41)</f>
        <v>181.41</v>
      </c>
      <c r="C377" s="3">
        <f>IFERROR(__xludf.DUMMYFUNCTION("""COMPUTED_VALUE"""),181.91)</f>
        <v>181.91</v>
      </c>
      <c r="D377" s="3">
        <f>IFERROR(__xludf.DUMMYFUNCTION("""COMPUTED_VALUE"""),176.0)</f>
        <v>176</v>
      </c>
      <c r="E377" s="3">
        <f>IFERROR(__xludf.DUMMYFUNCTION("""COMPUTED_VALUE"""),179.83)</f>
        <v>179.83</v>
      </c>
      <c r="F377" s="3">
        <f>IFERROR(__xludf.DUMMYFUNCTION("""COMPUTED_VALUE"""),8.1804043E7)</f>
        <v>81804043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>
        <f>IFERROR(__xludf.DUMMYFUNCTION("""COMPUTED_VALUE"""),45379.66666666667)</f>
        <v>45379.66667</v>
      </c>
      <c r="B378" s="3">
        <f>IFERROR(__xludf.DUMMYFUNCTION("""COMPUTED_VALUE"""),177.45)</f>
        <v>177.45</v>
      </c>
      <c r="C378" s="3">
        <f>IFERROR(__xludf.DUMMYFUNCTION("""COMPUTED_VALUE"""),179.57)</f>
        <v>179.57</v>
      </c>
      <c r="D378" s="3">
        <f>IFERROR(__xludf.DUMMYFUNCTION("""COMPUTED_VALUE"""),175.3)</f>
        <v>175.3</v>
      </c>
      <c r="E378" s="3">
        <f>IFERROR(__xludf.DUMMYFUNCTION("""COMPUTED_VALUE"""),175.79)</f>
        <v>175.79</v>
      </c>
      <c r="F378" s="3">
        <f>IFERROR(__xludf.DUMMYFUNCTION("""COMPUTED_VALUE"""),7.7654838E7)</f>
        <v>77654838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>
        <f>IFERROR(__xludf.DUMMYFUNCTION("""COMPUTED_VALUE"""),45383.66666666667)</f>
        <v>45383.66667</v>
      </c>
      <c r="B379" s="3">
        <f>IFERROR(__xludf.DUMMYFUNCTION("""COMPUTED_VALUE"""),176.17)</f>
        <v>176.17</v>
      </c>
      <c r="C379" s="3">
        <f>IFERROR(__xludf.DUMMYFUNCTION("""COMPUTED_VALUE"""),176.75)</f>
        <v>176.75</v>
      </c>
      <c r="D379" s="3">
        <f>IFERROR(__xludf.DUMMYFUNCTION("""COMPUTED_VALUE"""),170.21)</f>
        <v>170.21</v>
      </c>
      <c r="E379" s="3">
        <f>IFERROR(__xludf.DUMMYFUNCTION("""COMPUTED_VALUE"""),175.22)</f>
        <v>175.22</v>
      </c>
      <c r="F379" s="3">
        <f>IFERROR(__xludf.DUMMYFUNCTION("""COMPUTED_VALUE"""),8.1562127E7)</f>
        <v>81562127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>
        <f>IFERROR(__xludf.DUMMYFUNCTION("""COMPUTED_VALUE"""),45384.66666666667)</f>
        <v>45384.66667</v>
      </c>
      <c r="B380" s="3">
        <f>IFERROR(__xludf.DUMMYFUNCTION("""COMPUTED_VALUE"""),164.75)</f>
        <v>164.75</v>
      </c>
      <c r="C380" s="3">
        <f>IFERROR(__xludf.DUMMYFUNCTION("""COMPUTED_VALUE"""),167.69)</f>
        <v>167.69</v>
      </c>
      <c r="D380" s="3">
        <f>IFERROR(__xludf.DUMMYFUNCTION("""COMPUTED_VALUE"""),163.43)</f>
        <v>163.43</v>
      </c>
      <c r="E380" s="3">
        <f>IFERROR(__xludf.DUMMYFUNCTION("""COMPUTED_VALUE"""),166.63)</f>
        <v>166.63</v>
      </c>
      <c r="F380" s="3">
        <f>IFERROR(__xludf.DUMMYFUNCTION("""COMPUTED_VALUE"""),1.16650594E8)</f>
        <v>116650594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>
        <f>IFERROR(__xludf.DUMMYFUNCTION("""COMPUTED_VALUE"""),45385.66666666667)</f>
        <v>45385.66667</v>
      </c>
      <c r="B381" s="3">
        <f>IFERROR(__xludf.DUMMYFUNCTION("""COMPUTED_VALUE"""),164.02)</f>
        <v>164.02</v>
      </c>
      <c r="C381" s="3">
        <f>IFERROR(__xludf.DUMMYFUNCTION("""COMPUTED_VALUE"""),168.82)</f>
        <v>168.82</v>
      </c>
      <c r="D381" s="3">
        <f>IFERROR(__xludf.DUMMYFUNCTION("""COMPUTED_VALUE"""),163.28)</f>
        <v>163.28</v>
      </c>
      <c r="E381" s="3">
        <f>IFERROR(__xludf.DUMMYFUNCTION("""COMPUTED_VALUE"""),168.38)</f>
        <v>168.38</v>
      </c>
      <c r="F381" s="3">
        <f>IFERROR(__xludf.DUMMYFUNCTION("""COMPUTED_VALUE"""),8.2950141E7)</f>
        <v>82950141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>
        <f>IFERROR(__xludf.DUMMYFUNCTION("""COMPUTED_VALUE"""),45386.66666666667)</f>
        <v>45386.66667</v>
      </c>
      <c r="B382" s="3">
        <f>IFERROR(__xludf.DUMMYFUNCTION("""COMPUTED_VALUE"""),170.07)</f>
        <v>170.07</v>
      </c>
      <c r="C382" s="3">
        <f>IFERROR(__xludf.DUMMYFUNCTION("""COMPUTED_VALUE"""),177.19)</f>
        <v>177.19</v>
      </c>
      <c r="D382" s="3">
        <f>IFERROR(__xludf.DUMMYFUNCTION("""COMPUTED_VALUE"""),168.01)</f>
        <v>168.01</v>
      </c>
      <c r="E382" s="3">
        <f>IFERROR(__xludf.DUMMYFUNCTION("""COMPUTED_VALUE"""),171.11)</f>
        <v>171.11</v>
      </c>
      <c r="F382" s="3">
        <f>IFERROR(__xludf.DUMMYFUNCTION("""COMPUTED_VALUE"""),1.2316196E8)</f>
        <v>123161960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>
        <f>IFERROR(__xludf.DUMMYFUNCTION("""COMPUTED_VALUE"""),45387.66666666667)</f>
        <v>45387.66667</v>
      </c>
      <c r="B383" s="3">
        <f>IFERROR(__xludf.DUMMYFUNCTION("""COMPUTED_VALUE"""),169.08)</f>
        <v>169.08</v>
      </c>
      <c r="C383" s="3">
        <f>IFERROR(__xludf.DUMMYFUNCTION("""COMPUTED_VALUE"""),170.86)</f>
        <v>170.86</v>
      </c>
      <c r="D383" s="3">
        <f>IFERROR(__xludf.DUMMYFUNCTION("""COMPUTED_VALUE"""),160.51)</f>
        <v>160.51</v>
      </c>
      <c r="E383" s="3">
        <f>IFERROR(__xludf.DUMMYFUNCTION("""COMPUTED_VALUE"""),164.9)</f>
        <v>164.9</v>
      </c>
      <c r="F383" s="3">
        <f>IFERROR(__xludf.DUMMYFUNCTION("""COMPUTED_VALUE"""),1.43157603E8)</f>
        <v>143157603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">
        <f>IFERROR(__xludf.DUMMYFUNCTION("""COMPUTED_VALUE"""),45390.66666666667)</f>
        <v>45390.66667</v>
      </c>
      <c r="B384" s="3">
        <f>IFERROR(__xludf.DUMMYFUNCTION("""COMPUTED_VALUE"""),169.34)</f>
        <v>169.34</v>
      </c>
      <c r="C384" s="3">
        <f>IFERROR(__xludf.DUMMYFUNCTION("""COMPUTED_VALUE"""),174.5)</f>
        <v>174.5</v>
      </c>
      <c r="D384" s="3">
        <f>IFERROR(__xludf.DUMMYFUNCTION("""COMPUTED_VALUE"""),167.79)</f>
        <v>167.79</v>
      </c>
      <c r="E384" s="3">
        <f>IFERROR(__xludf.DUMMYFUNCTION("""COMPUTED_VALUE"""),172.98)</f>
        <v>172.98</v>
      </c>
      <c r="F384" s="3">
        <f>IFERROR(__xludf.DUMMYFUNCTION("""COMPUTED_VALUE"""),1.0442332E8)</f>
        <v>104423320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">
        <f>IFERROR(__xludf.DUMMYFUNCTION("""COMPUTED_VALUE"""),45391.66666666667)</f>
        <v>45391.66667</v>
      </c>
      <c r="B385" s="3">
        <f>IFERROR(__xludf.DUMMYFUNCTION("""COMPUTED_VALUE"""),172.91)</f>
        <v>172.91</v>
      </c>
      <c r="C385" s="3">
        <f>IFERROR(__xludf.DUMMYFUNCTION("""COMPUTED_VALUE"""),179.22)</f>
        <v>179.22</v>
      </c>
      <c r="D385" s="3">
        <f>IFERROR(__xludf.DUMMYFUNCTION("""COMPUTED_VALUE"""),171.92)</f>
        <v>171.92</v>
      </c>
      <c r="E385" s="3">
        <f>IFERROR(__xludf.DUMMYFUNCTION("""COMPUTED_VALUE"""),176.88)</f>
        <v>176.88</v>
      </c>
      <c r="F385" s="3">
        <f>IFERROR(__xludf.DUMMYFUNCTION("""COMPUTED_VALUE"""),1.03232675E8)</f>
        <v>103232675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>
        <f>IFERROR(__xludf.DUMMYFUNCTION("""COMPUTED_VALUE"""),45392.66666666667)</f>
        <v>45392.66667</v>
      </c>
      <c r="B386" s="3">
        <f>IFERROR(__xludf.DUMMYFUNCTION("""COMPUTED_VALUE"""),173.04)</f>
        <v>173.04</v>
      </c>
      <c r="C386" s="3">
        <f>IFERROR(__xludf.DUMMYFUNCTION("""COMPUTED_VALUE"""),174.93)</f>
        <v>174.93</v>
      </c>
      <c r="D386" s="3">
        <f>IFERROR(__xludf.DUMMYFUNCTION("""COMPUTED_VALUE"""),170.01)</f>
        <v>170.01</v>
      </c>
      <c r="E386" s="3">
        <f>IFERROR(__xludf.DUMMYFUNCTION("""COMPUTED_VALUE"""),171.76)</f>
        <v>171.76</v>
      </c>
      <c r="F386" s="3">
        <f>IFERROR(__xludf.DUMMYFUNCTION("""COMPUTED_VALUE"""),8.4532407E7)</f>
        <v>84532407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>
        <f>IFERROR(__xludf.DUMMYFUNCTION("""COMPUTED_VALUE"""),45393.66666666667)</f>
        <v>45393.66667</v>
      </c>
      <c r="B387" s="3">
        <f>IFERROR(__xludf.DUMMYFUNCTION("""COMPUTED_VALUE"""),172.55)</f>
        <v>172.55</v>
      </c>
      <c r="C387" s="3">
        <f>IFERROR(__xludf.DUMMYFUNCTION("""COMPUTED_VALUE"""),175.88)</f>
        <v>175.88</v>
      </c>
      <c r="D387" s="3">
        <f>IFERROR(__xludf.DUMMYFUNCTION("""COMPUTED_VALUE"""),168.51)</f>
        <v>168.51</v>
      </c>
      <c r="E387" s="3">
        <f>IFERROR(__xludf.DUMMYFUNCTION("""COMPUTED_VALUE"""),174.6)</f>
        <v>174.6</v>
      </c>
      <c r="F387" s="3">
        <f>IFERROR(__xludf.DUMMYFUNCTION("""COMPUTED_VALUE"""),9.4515987E7)</f>
        <v>94515987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>
        <f>IFERROR(__xludf.DUMMYFUNCTION("""COMPUTED_VALUE"""),45394.66666666667)</f>
        <v>45394.66667</v>
      </c>
      <c r="B388" s="3">
        <f>IFERROR(__xludf.DUMMYFUNCTION("""COMPUTED_VALUE"""),172.34)</f>
        <v>172.34</v>
      </c>
      <c r="C388" s="3">
        <f>IFERROR(__xludf.DUMMYFUNCTION("""COMPUTED_VALUE"""),173.81)</f>
        <v>173.81</v>
      </c>
      <c r="D388" s="3">
        <f>IFERROR(__xludf.DUMMYFUNCTION("""COMPUTED_VALUE"""),170.36)</f>
        <v>170.36</v>
      </c>
      <c r="E388" s="3">
        <f>IFERROR(__xludf.DUMMYFUNCTION("""COMPUTED_VALUE"""),171.05)</f>
        <v>171.05</v>
      </c>
      <c r="F388" s="3">
        <f>IFERROR(__xludf.DUMMYFUNCTION("""COMPUTED_VALUE"""),6.4722669E7)</f>
        <v>64722669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>
        <f>IFERROR(__xludf.DUMMYFUNCTION("""COMPUTED_VALUE"""),45397.66666666667)</f>
        <v>45397.66667</v>
      </c>
      <c r="B389" s="3">
        <f>IFERROR(__xludf.DUMMYFUNCTION("""COMPUTED_VALUE"""),170.24)</f>
        <v>170.24</v>
      </c>
      <c r="C389" s="3">
        <f>IFERROR(__xludf.DUMMYFUNCTION("""COMPUTED_VALUE"""),170.69)</f>
        <v>170.69</v>
      </c>
      <c r="D389" s="3">
        <f>IFERROR(__xludf.DUMMYFUNCTION("""COMPUTED_VALUE"""),161.38)</f>
        <v>161.38</v>
      </c>
      <c r="E389" s="3">
        <f>IFERROR(__xludf.DUMMYFUNCTION("""COMPUTED_VALUE"""),161.48)</f>
        <v>161.48</v>
      </c>
      <c r="F389" s="3">
        <f>IFERROR(__xludf.DUMMYFUNCTION("""COMPUTED_VALUE"""),1.0024531E8)</f>
        <v>100245310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>
        <f>IFERROR(__xludf.DUMMYFUNCTION("""COMPUTED_VALUE"""),45398.66666666667)</f>
        <v>45398.66667</v>
      </c>
      <c r="B390" s="3">
        <f>IFERROR(__xludf.DUMMYFUNCTION("""COMPUTED_VALUE"""),156.74)</f>
        <v>156.74</v>
      </c>
      <c r="C390" s="3">
        <f>IFERROR(__xludf.DUMMYFUNCTION("""COMPUTED_VALUE"""),158.19)</f>
        <v>158.19</v>
      </c>
      <c r="D390" s="3">
        <f>IFERROR(__xludf.DUMMYFUNCTION("""COMPUTED_VALUE"""),153.75)</f>
        <v>153.75</v>
      </c>
      <c r="E390" s="3">
        <f>IFERROR(__xludf.DUMMYFUNCTION("""COMPUTED_VALUE"""),157.11)</f>
        <v>157.11</v>
      </c>
      <c r="F390" s="3">
        <f>IFERROR(__xludf.DUMMYFUNCTION("""COMPUTED_VALUE"""),9.6999956E7)</f>
        <v>96999956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">
        <f>IFERROR(__xludf.DUMMYFUNCTION("""COMPUTED_VALUE"""),45399.66666666667)</f>
        <v>45399.66667</v>
      </c>
      <c r="B391" s="3">
        <f>IFERROR(__xludf.DUMMYFUNCTION("""COMPUTED_VALUE"""),157.64)</f>
        <v>157.64</v>
      </c>
      <c r="C391" s="3">
        <f>IFERROR(__xludf.DUMMYFUNCTION("""COMPUTED_VALUE"""),158.33)</f>
        <v>158.33</v>
      </c>
      <c r="D391" s="3">
        <f>IFERROR(__xludf.DUMMYFUNCTION("""COMPUTED_VALUE"""),153.78)</f>
        <v>153.78</v>
      </c>
      <c r="E391" s="3">
        <f>IFERROR(__xludf.DUMMYFUNCTION("""COMPUTED_VALUE"""),155.45)</f>
        <v>155.45</v>
      </c>
      <c r="F391" s="3">
        <f>IFERROR(__xludf.DUMMYFUNCTION("""COMPUTED_VALUE"""),8.2439718E7)</f>
        <v>82439718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">
        <f>IFERROR(__xludf.DUMMYFUNCTION("""COMPUTED_VALUE"""),45400.66666666667)</f>
        <v>45400.66667</v>
      </c>
      <c r="B392" s="3">
        <f>IFERROR(__xludf.DUMMYFUNCTION("""COMPUTED_VALUE"""),151.25)</f>
        <v>151.25</v>
      </c>
      <c r="C392" s="3">
        <f>IFERROR(__xludf.DUMMYFUNCTION("""COMPUTED_VALUE"""),152.2)</f>
        <v>152.2</v>
      </c>
      <c r="D392" s="3">
        <f>IFERROR(__xludf.DUMMYFUNCTION("""COMPUTED_VALUE"""),148.7)</f>
        <v>148.7</v>
      </c>
      <c r="E392" s="3">
        <f>IFERROR(__xludf.DUMMYFUNCTION("""COMPUTED_VALUE"""),149.93)</f>
        <v>149.93</v>
      </c>
      <c r="F392" s="3">
        <f>IFERROR(__xludf.DUMMYFUNCTION("""COMPUTED_VALUE"""),9.609883E7)</f>
        <v>96098830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>
        <f>IFERROR(__xludf.DUMMYFUNCTION("""COMPUTED_VALUE"""),45401.66666666667)</f>
        <v>45401.66667</v>
      </c>
      <c r="B393" s="3">
        <f>IFERROR(__xludf.DUMMYFUNCTION("""COMPUTED_VALUE"""),148.97)</f>
        <v>148.97</v>
      </c>
      <c r="C393" s="3">
        <f>IFERROR(__xludf.DUMMYFUNCTION("""COMPUTED_VALUE"""),150.94)</f>
        <v>150.94</v>
      </c>
      <c r="D393" s="3">
        <f>IFERROR(__xludf.DUMMYFUNCTION("""COMPUTED_VALUE"""),146.22)</f>
        <v>146.22</v>
      </c>
      <c r="E393" s="3">
        <f>IFERROR(__xludf.DUMMYFUNCTION("""COMPUTED_VALUE"""),147.05)</f>
        <v>147.05</v>
      </c>
      <c r="F393" s="3">
        <f>IFERROR(__xludf.DUMMYFUNCTION("""COMPUTED_VALUE"""),8.70745E7)</f>
        <v>87074500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>
        <f>IFERROR(__xludf.DUMMYFUNCTION("""COMPUTED_VALUE"""),45404.66666666667)</f>
        <v>45404.66667</v>
      </c>
      <c r="B394" s="3">
        <f>IFERROR(__xludf.DUMMYFUNCTION("""COMPUTED_VALUE"""),140.56)</f>
        <v>140.56</v>
      </c>
      <c r="C394" s="3">
        <f>IFERROR(__xludf.DUMMYFUNCTION("""COMPUTED_VALUE"""),144.44)</f>
        <v>144.44</v>
      </c>
      <c r="D394" s="3">
        <f>IFERROR(__xludf.DUMMYFUNCTION("""COMPUTED_VALUE"""),138.8)</f>
        <v>138.8</v>
      </c>
      <c r="E394" s="3">
        <f>IFERROR(__xludf.DUMMYFUNCTION("""COMPUTED_VALUE"""),142.05)</f>
        <v>142.05</v>
      </c>
      <c r="F394" s="3">
        <f>IFERROR(__xludf.DUMMYFUNCTION("""COMPUTED_VALUE"""),1.07097564E8)</f>
        <v>107097564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>
        <f>IFERROR(__xludf.DUMMYFUNCTION("""COMPUTED_VALUE"""),45405.66666666667)</f>
        <v>45405.66667</v>
      </c>
      <c r="B395" s="3">
        <f>IFERROR(__xludf.DUMMYFUNCTION("""COMPUTED_VALUE"""),143.33)</f>
        <v>143.33</v>
      </c>
      <c r="C395" s="3">
        <f>IFERROR(__xludf.DUMMYFUNCTION("""COMPUTED_VALUE"""),147.26)</f>
        <v>147.26</v>
      </c>
      <c r="D395" s="3">
        <f>IFERROR(__xludf.DUMMYFUNCTION("""COMPUTED_VALUE"""),141.11)</f>
        <v>141.11</v>
      </c>
      <c r="E395" s="3">
        <f>IFERROR(__xludf.DUMMYFUNCTION("""COMPUTED_VALUE"""),144.68)</f>
        <v>144.68</v>
      </c>
      <c r="F395" s="3">
        <f>IFERROR(__xludf.DUMMYFUNCTION("""COMPUTED_VALUE"""),1.24545104E8)</f>
        <v>124545104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>
        <f>IFERROR(__xludf.DUMMYFUNCTION("""COMPUTED_VALUE"""),45406.66666666667)</f>
        <v>45406.66667</v>
      </c>
      <c r="B396" s="3">
        <f>IFERROR(__xludf.DUMMYFUNCTION("""COMPUTED_VALUE"""),162.84)</f>
        <v>162.84</v>
      </c>
      <c r="C396" s="3">
        <f>IFERROR(__xludf.DUMMYFUNCTION("""COMPUTED_VALUE"""),167.97)</f>
        <v>167.97</v>
      </c>
      <c r="D396" s="3">
        <f>IFERROR(__xludf.DUMMYFUNCTION("""COMPUTED_VALUE"""),157.51)</f>
        <v>157.51</v>
      </c>
      <c r="E396" s="3">
        <f>IFERROR(__xludf.DUMMYFUNCTION("""COMPUTED_VALUE"""),162.13)</f>
        <v>162.13</v>
      </c>
      <c r="F396" s="3">
        <f>IFERROR(__xludf.DUMMYFUNCTION("""COMPUTED_VALUE"""),1.8117802E8)</f>
        <v>181178020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>
        <f>IFERROR(__xludf.DUMMYFUNCTION("""COMPUTED_VALUE"""),45407.66666666667)</f>
        <v>45407.66667</v>
      </c>
      <c r="B397" s="3">
        <f>IFERROR(__xludf.DUMMYFUNCTION("""COMPUTED_VALUE"""),158.96)</f>
        <v>158.96</v>
      </c>
      <c r="C397" s="3">
        <f>IFERROR(__xludf.DUMMYFUNCTION("""COMPUTED_VALUE"""),170.88)</f>
        <v>170.88</v>
      </c>
      <c r="D397" s="3">
        <f>IFERROR(__xludf.DUMMYFUNCTION("""COMPUTED_VALUE"""),158.36)</f>
        <v>158.36</v>
      </c>
      <c r="E397" s="3">
        <f>IFERROR(__xludf.DUMMYFUNCTION("""COMPUTED_VALUE"""),170.18)</f>
        <v>170.18</v>
      </c>
      <c r="F397" s="3">
        <f>IFERROR(__xludf.DUMMYFUNCTION("""COMPUTED_VALUE"""),1.26427521E8)</f>
        <v>126427521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>
        <f>IFERROR(__xludf.DUMMYFUNCTION("""COMPUTED_VALUE"""),45408.66666666667)</f>
        <v>45408.66667</v>
      </c>
      <c r="B398" s="3">
        <f>IFERROR(__xludf.DUMMYFUNCTION("""COMPUTED_VALUE"""),168.85)</f>
        <v>168.85</v>
      </c>
      <c r="C398" s="3">
        <f>IFERROR(__xludf.DUMMYFUNCTION("""COMPUTED_VALUE"""),172.12)</f>
        <v>172.12</v>
      </c>
      <c r="D398" s="3">
        <f>IFERROR(__xludf.DUMMYFUNCTION("""COMPUTED_VALUE"""),166.37)</f>
        <v>166.37</v>
      </c>
      <c r="E398" s="3">
        <f>IFERROR(__xludf.DUMMYFUNCTION("""COMPUTED_VALUE"""),168.29)</f>
        <v>168.29</v>
      </c>
      <c r="F398" s="3">
        <f>IFERROR(__xludf.DUMMYFUNCTION("""COMPUTED_VALUE"""),1.09815725E8)</f>
        <v>109815725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>
        <f>IFERROR(__xludf.DUMMYFUNCTION("""COMPUTED_VALUE"""),45411.66666666667)</f>
        <v>45411.66667</v>
      </c>
      <c r="B399" s="3">
        <f>IFERROR(__xludf.DUMMYFUNCTION("""COMPUTED_VALUE"""),188.42)</f>
        <v>188.42</v>
      </c>
      <c r="C399" s="3">
        <f>IFERROR(__xludf.DUMMYFUNCTION("""COMPUTED_VALUE"""),198.87)</f>
        <v>198.87</v>
      </c>
      <c r="D399" s="3">
        <f>IFERROR(__xludf.DUMMYFUNCTION("""COMPUTED_VALUE"""),184.54)</f>
        <v>184.54</v>
      </c>
      <c r="E399" s="3">
        <f>IFERROR(__xludf.DUMMYFUNCTION("""COMPUTED_VALUE"""),194.05)</f>
        <v>194.05</v>
      </c>
      <c r="F399" s="3">
        <f>IFERROR(__xludf.DUMMYFUNCTION("""COMPUTED_VALUE"""),2.43869678E8)</f>
        <v>243869678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>
        <f>IFERROR(__xludf.DUMMYFUNCTION("""COMPUTED_VALUE"""),45412.66666666667)</f>
        <v>45412.66667</v>
      </c>
      <c r="B400" s="3">
        <f>IFERROR(__xludf.DUMMYFUNCTION("""COMPUTED_VALUE"""),186.98)</f>
        <v>186.98</v>
      </c>
      <c r="C400" s="3">
        <f>IFERROR(__xludf.DUMMYFUNCTION("""COMPUTED_VALUE"""),190.95)</f>
        <v>190.95</v>
      </c>
      <c r="D400" s="3">
        <f>IFERROR(__xludf.DUMMYFUNCTION("""COMPUTED_VALUE"""),182.84)</f>
        <v>182.84</v>
      </c>
      <c r="E400" s="3">
        <f>IFERROR(__xludf.DUMMYFUNCTION("""COMPUTED_VALUE"""),183.28)</f>
        <v>183.28</v>
      </c>
      <c r="F400" s="3">
        <f>IFERROR(__xludf.DUMMYFUNCTION("""COMPUTED_VALUE"""),1.27031787E8)</f>
        <v>127031787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>
        <f>IFERROR(__xludf.DUMMYFUNCTION("""COMPUTED_VALUE"""),45413.66666666667)</f>
        <v>45413.66667</v>
      </c>
      <c r="B401" s="3">
        <f>IFERROR(__xludf.DUMMYFUNCTION("""COMPUTED_VALUE"""),182.0)</f>
        <v>182</v>
      </c>
      <c r="C401" s="3">
        <f>IFERROR(__xludf.DUMMYFUNCTION("""COMPUTED_VALUE"""),185.86)</f>
        <v>185.86</v>
      </c>
      <c r="D401" s="3">
        <f>IFERROR(__xludf.DUMMYFUNCTION("""COMPUTED_VALUE"""),179.01)</f>
        <v>179.01</v>
      </c>
      <c r="E401" s="3">
        <f>IFERROR(__xludf.DUMMYFUNCTION("""COMPUTED_VALUE"""),179.99)</f>
        <v>179.99</v>
      </c>
      <c r="F401" s="3">
        <f>IFERROR(__xludf.DUMMYFUNCTION("""COMPUTED_VALUE"""),9.2829719E7)</f>
        <v>92829719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>
        <f>IFERROR(__xludf.DUMMYFUNCTION("""COMPUTED_VALUE"""),45414.66666666667)</f>
        <v>45414.66667</v>
      </c>
      <c r="B402" s="3">
        <f>IFERROR(__xludf.DUMMYFUNCTION("""COMPUTED_VALUE"""),182.86)</f>
        <v>182.86</v>
      </c>
      <c r="C402" s="3">
        <f>IFERROR(__xludf.DUMMYFUNCTION("""COMPUTED_VALUE"""),184.6)</f>
        <v>184.6</v>
      </c>
      <c r="D402" s="3">
        <f>IFERROR(__xludf.DUMMYFUNCTION("""COMPUTED_VALUE"""),176.02)</f>
        <v>176.02</v>
      </c>
      <c r="E402" s="3">
        <f>IFERROR(__xludf.DUMMYFUNCTION("""COMPUTED_VALUE"""),180.01)</f>
        <v>180.01</v>
      </c>
      <c r="F402" s="3">
        <f>IFERROR(__xludf.DUMMYFUNCTION("""COMPUTED_VALUE"""),8.9148041E7)</f>
        <v>89148041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>
        <f>IFERROR(__xludf.DUMMYFUNCTION("""COMPUTED_VALUE"""),45415.66666666667)</f>
        <v>45415.66667</v>
      </c>
      <c r="B403" s="3">
        <f>IFERROR(__xludf.DUMMYFUNCTION("""COMPUTED_VALUE"""),182.1)</f>
        <v>182.1</v>
      </c>
      <c r="C403" s="3">
        <f>IFERROR(__xludf.DUMMYFUNCTION("""COMPUTED_VALUE"""),184.78)</f>
        <v>184.78</v>
      </c>
      <c r="D403" s="3">
        <f>IFERROR(__xludf.DUMMYFUNCTION("""COMPUTED_VALUE"""),178.42)</f>
        <v>178.42</v>
      </c>
      <c r="E403" s="3">
        <f>IFERROR(__xludf.DUMMYFUNCTION("""COMPUTED_VALUE"""),181.19)</f>
        <v>181.19</v>
      </c>
      <c r="F403" s="3">
        <f>IFERROR(__xludf.DUMMYFUNCTION("""COMPUTED_VALUE"""),7.5491539E7)</f>
        <v>75491539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>
        <f>IFERROR(__xludf.DUMMYFUNCTION("""COMPUTED_VALUE"""),45418.66666666667)</f>
        <v>45418.66667</v>
      </c>
      <c r="B404" s="3">
        <f>IFERROR(__xludf.DUMMYFUNCTION("""COMPUTED_VALUE"""),183.8)</f>
        <v>183.8</v>
      </c>
      <c r="C404" s="3">
        <f>IFERROR(__xludf.DUMMYFUNCTION("""COMPUTED_VALUE"""),187.56)</f>
        <v>187.56</v>
      </c>
      <c r="D404" s="3">
        <f>IFERROR(__xludf.DUMMYFUNCTION("""COMPUTED_VALUE"""),182.2)</f>
        <v>182.2</v>
      </c>
      <c r="E404" s="3">
        <f>IFERROR(__xludf.DUMMYFUNCTION("""COMPUTED_VALUE"""),184.76)</f>
        <v>184.76</v>
      </c>
      <c r="F404" s="3">
        <f>IFERROR(__xludf.DUMMYFUNCTION("""COMPUTED_VALUE"""),8.4390253E7)</f>
        <v>84390253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">
        <f>IFERROR(__xludf.DUMMYFUNCTION("""COMPUTED_VALUE"""),45419.66666666667)</f>
        <v>45419.66667</v>
      </c>
      <c r="B405" s="3">
        <f>IFERROR(__xludf.DUMMYFUNCTION("""COMPUTED_VALUE"""),182.4)</f>
        <v>182.4</v>
      </c>
      <c r="C405" s="3">
        <f>IFERROR(__xludf.DUMMYFUNCTION("""COMPUTED_VALUE"""),183.26)</f>
        <v>183.26</v>
      </c>
      <c r="D405" s="3">
        <f>IFERROR(__xludf.DUMMYFUNCTION("""COMPUTED_VALUE"""),177.4)</f>
        <v>177.4</v>
      </c>
      <c r="E405" s="3">
        <f>IFERROR(__xludf.DUMMYFUNCTION("""COMPUTED_VALUE"""),177.81)</f>
        <v>177.81</v>
      </c>
      <c r="F405" s="3">
        <f>IFERROR(__xludf.DUMMYFUNCTION("""COMPUTED_VALUE"""),7.5045854E7)</f>
        <v>75045854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>
        <f>IFERROR(__xludf.DUMMYFUNCTION("""COMPUTED_VALUE"""),45420.66666666667)</f>
        <v>45420.66667</v>
      </c>
      <c r="B406" s="3">
        <f>IFERROR(__xludf.DUMMYFUNCTION("""COMPUTED_VALUE"""),171.59)</f>
        <v>171.59</v>
      </c>
      <c r="C406" s="3">
        <f>IFERROR(__xludf.DUMMYFUNCTION("""COMPUTED_VALUE"""),176.06)</f>
        <v>176.06</v>
      </c>
      <c r="D406" s="3">
        <f>IFERROR(__xludf.DUMMYFUNCTION("""COMPUTED_VALUE"""),170.15)</f>
        <v>170.15</v>
      </c>
      <c r="E406" s="3">
        <f>IFERROR(__xludf.DUMMYFUNCTION("""COMPUTED_VALUE"""),174.72)</f>
        <v>174.72</v>
      </c>
      <c r="F406" s="3">
        <f>IFERROR(__xludf.DUMMYFUNCTION("""COMPUTED_VALUE"""),7.9969488E7)</f>
        <v>79969488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>
        <f>IFERROR(__xludf.DUMMYFUNCTION("""COMPUTED_VALUE"""),45421.66666666667)</f>
        <v>45421.66667</v>
      </c>
      <c r="B407" s="3">
        <f>IFERROR(__xludf.DUMMYFUNCTION("""COMPUTED_VALUE"""),175.01)</f>
        <v>175.01</v>
      </c>
      <c r="C407" s="3">
        <f>IFERROR(__xludf.DUMMYFUNCTION("""COMPUTED_VALUE"""),175.62)</f>
        <v>175.62</v>
      </c>
      <c r="D407" s="3">
        <f>IFERROR(__xludf.DUMMYFUNCTION("""COMPUTED_VALUE"""),171.37)</f>
        <v>171.37</v>
      </c>
      <c r="E407" s="3">
        <f>IFERROR(__xludf.DUMMYFUNCTION("""COMPUTED_VALUE"""),171.97)</f>
        <v>171.97</v>
      </c>
      <c r="F407" s="3">
        <f>IFERROR(__xludf.DUMMYFUNCTION("""COMPUTED_VALUE"""),6.5950292E7)</f>
        <v>65950292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">
        <f>IFERROR(__xludf.DUMMYFUNCTION("""COMPUTED_VALUE"""),45422.66666666667)</f>
        <v>45422.66667</v>
      </c>
      <c r="B408" s="3">
        <f>IFERROR(__xludf.DUMMYFUNCTION("""COMPUTED_VALUE"""),173.05)</f>
        <v>173.05</v>
      </c>
      <c r="C408" s="3">
        <f>IFERROR(__xludf.DUMMYFUNCTION("""COMPUTED_VALUE"""),173.06)</f>
        <v>173.06</v>
      </c>
      <c r="D408" s="3">
        <f>IFERROR(__xludf.DUMMYFUNCTION("""COMPUTED_VALUE"""),167.75)</f>
        <v>167.75</v>
      </c>
      <c r="E408" s="3">
        <f>IFERROR(__xludf.DUMMYFUNCTION("""COMPUTED_VALUE"""),168.47)</f>
        <v>168.47</v>
      </c>
      <c r="F408" s="3">
        <f>IFERROR(__xludf.DUMMYFUNCTION("""COMPUTED_VALUE"""),7.2627178E7)</f>
        <v>72627178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">
        <f>IFERROR(__xludf.DUMMYFUNCTION("""COMPUTED_VALUE"""),45425.66666666667)</f>
        <v>45425.66667</v>
      </c>
      <c r="B409" s="3">
        <f>IFERROR(__xludf.DUMMYFUNCTION("""COMPUTED_VALUE"""),170.0)</f>
        <v>170</v>
      </c>
      <c r="C409" s="3">
        <f>IFERROR(__xludf.DUMMYFUNCTION("""COMPUTED_VALUE"""),175.4)</f>
        <v>175.4</v>
      </c>
      <c r="D409" s="3">
        <f>IFERROR(__xludf.DUMMYFUNCTION("""COMPUTED_VALUE"""),169.0)</f>
        <v>169</v>
      </c>
      <c r="E409" s="3">
        <f>IFERROR(__xludf.DUMMYFUNCTION("""COMPUTED_VALUE"""),171.89)</f>
        <v>171.89</v>
      </c>
      <c r="F409" s="3">
        <f>IFERROR(__xludf.DUMMYFUNCTION("""COMPUTED_VALUE"""),6.7018903E7)</f>
        <v>67018903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>
        <f>IFERROR(__xludf.DUMMYFUNCTION("""COMPUTED_VALUE"""),45426.66666666667)</f>
        <v>45426.66667</v>
      </c>
      <c r="B410" s="3">
        <f>IFERROR(__xludf.DUMMYFUNCTION("""COMPUTED_VALUE"""),174.5)</f>
        <v>174.5</v>
      </c>
      <c r="C410" s="3">
        <f>IFERROR(__xludf.DUMMYFUNCTION("""COMPUTED_VALUE"""),179.49)</f>
        <v>179.49</v>
      </c>
      <c r="D410" s="3">
        <f>IFERROR(__xludf.DUMMYFUNCTION("""COMPUTED_VALUE"""),174.07)</f>
        <v>174.07</v>
      </c>
      <c r="E410" s="3">
        <f>IFERROR(__xludf.DUMMYFUNCTION("""COMPUTED_VALUE"""),177.55)</f>
        <v>177.55</v>
      </c>
      <c r="F410" s="3">
        <f>IFERROR(__xludf.DUMMYFUNCTION("""COMPUTED_VALUE"""),8.6407422E7)</f>
        <v>86407422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>
        <f>IFERROR(__xludf.DUMMYFUNCTION("""COMPUTED_VALUE"""),45427.66666666667)</f>
        <v>45427.66667</v>
      </c>
      <c r="B411" s="3">
        <f>IFERROR(__xludf.DUMMYFUNCTION("""COMPUTED_VALUE"""),179.9)</f>
        <v>179.9</v>
      </c>
      <c r="C411" s="3">
        <f>IFERROR(__xludf.DUMMYFUNCTION("""COMPUTED_VALUE"""),180.0)</f>
        <v>180</v>
      </c>
      <c r="D411" s="3">
        <f>IFERROR(__xludf.DUMMYFUNCTION("""COMPUTED_VALUE"""),173.11)</f>
        <v>173.11</v>
      </c>
      <c r="E411" s="3">
        <f>IFERROR(__xludf.DUMMYFUNCTION("""COMPUTED_VALUE"""),173.99)</f>
        <v>173.99</v>
      </c>
      <c r="F411" s="3">
        <f>IFERROR(__xludf.DUMMYFUNCTION("""COMPUTED_VALUE"""),7.9662993E7)</f>
        <v>79662993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>
        <f>IFERROR(__xludf.DUMMYFUNCTION("""COMPUTED_VALUE"""),45428.66666666667)</f>
        <v>45428.66667</v>
      </c>
      <c r="B412" s="3">
        <f>IFERROR(__xludf.DUMMYFUNCTION("""COMPUTED_VALUE"""),174.1)</f>
        <v>174.1</v>
      </c>
      <c r="C412" s="3">
        <f>IFERROR(__xludf.DUMMYFUNCTION("""COMPUTED_VALUE"""),175.79)</f>
        <v>175.79</v>
      </c>
      <c r="D412" s="3">
        <f>IFERROR(__xludf.DUMMYFUNCTION("""COMPUTED_VALUE"""),171.43)</f>
        <v>171.43</v>
      </c>
      <c r="E412" s="3">
        <f>IFERROR(__xludf.DUMMYFUNCTION("""COMPUTED_VALUE"""),174.84)</f>
        <v>174.84</v>
      </c>
      <c r="F412" s="3">
        <f>IFERROR(__xludf.DUMMYFUNCTION("""COMPUTED_VALUE"""),5.981222E7)</f>
        <v>59812220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>
        <f>IFERROR(__xludf.DUMMYFUNCTION("""COMPUTED_VALUE"""),45429.66666666667)</f>
        <v>45429.66667</v>
      </c>
      <c r="B413" s="3">
        <f>IFERROR(__xludf.DUMMYFUNCTION("""COMPUTED_VALUE"""),173.55)</f>
        <v>173.55</v>
      </c>
      <c r="C413" s="3">
        <f>IFERROR(__xludf.DUMMYFUNCTION("""COMPUTED_VALUE"""),179.63)</f>
        <v>179.63</v>
      </c>
      <c r="D413" s="3">
        <f>IFERROR(__xludf.DUMMYFUNCTION("""COMPUTED_VALUE"""),172.75)</f>
        <v>172.75</v>
      </c>
      <c r="E413" s="3">
        <f>IFERROR(__xludf.DUMMYFUNCTION("""COMPUTED_VALUE"""),177.46)</f>
        <v>177.46</v>
      </c>
      <c r="F413" s="3">
        <f>IFERROR(__xludf.DUMMYFUNCTION("""COMPUTED_VALUE"""),7.7445845E7)</f>
        <v>77445845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">
        <f>IFERROR(__xludf.DUMMYFUNCTION("""COMPUTED_VALUE"""),45432.66666666667)</f>
        <v>45432.66667</v>
      </c>
      <c r="B414" s="3">
        <f>IFERROR(__xludf.DUMMYFUNCTION("""COMPUTED_VALUE"""),177.56)</f>
        <v>177.56</v>
      </c>
      <c r="C414" s="3">
        <f>IFERROR(__xludf.DUMMYFUNCTION("""COMPUTED_VALUE"""),177.75)</f>
        <v>177.75</v>
      </c>
      <c r="D414" s="3">
        <f>IFERROR(__xludf.DUMMYFUNCTION("""COMPUTED_VALUE"""),173.52)</f>
        <v>173.52</v>
      </c>
      <c r="E414" s="3">
        <f>IFERROR(__xludf.DUMMYFUNCTION("""COMPUTED_VALUE"""),174.95)</f>
        <v>174.95</v>
      </c>
      <c r="F414" s="3">
        <f>IFERROR(__xludf.DUMMYFUNCTION("""COMPUTED_VALUE"""),6.1727425E7)</f>
        <v>61727425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">
        <f>IFERROR(__xludf.DUMMYFUNCTION("""COMPUTED_VALUE"""),45433.66666666667)</f>
        <v>45433.66667</v>
      </c>
      <c r="B415" s="3">
        <f>IFERROR(__xludf.DUMMYFUNCTION("""COMPUTED_VALUE"""),175.51)</f>
        <v>175.51</v>
      </c>
      <c r="C415" s="3">
        <f>IFERROR(__xludf.DUMMYFUNCTION("""COMPUTED_VALUE"""),186.88)</f>
        <v>186.88</v>
      </c>
      <c r="D415" s="3">
        <f>IFERROR(__xludf.DUMMYFUNCTION("""COMPUTED_VALUE"""),174.71)</f>
        <v>174.71</v>
      </c>
      <c r="E415" s="3">
        <f>IFERROR(__xludf.DUMMYFUNCTION("""COMPUTED_VALUE"""),186.6)</f>
        <v>186.6</v>
      </c>
      <c r="F415" s="3">
        <f>IFERROR(__xludf.DUMMYFUNCTION("""COMPUTED_VALUE"""),1.15266512E8)</f>
        <v>115266512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>
        <f>IFERROR(__xludf.DUMMYFUNCTION("""COMPUTED_VALUE"""),45434.66666666667)</f>
        <v>45434.66667</v>
      </c>
      <c r="B416" s="3">
        <f>IFERROR(__xludf.DUMMYFUNCTION("""COMPUTED_VALUE"""),182.85)</f>
        <v>182.85</v>
      </c>
      <c r="C416" s="3">
        <f>IFERROR(__xludf.DUMMYFUNCTION("""COMPUTED_VALUE"""),183.8)</f>
        <v>183.8</v>
      </c>
      <c r="D416" s="3">
        <f>IFERROR(__xludf.DUMMYFUNCTION("""COMPUTED_VALUE"""),178.12)</f>
        <v>178.12</v>
      </c>
      <c r="E416" s="3">
        <f>IFERROR(__xludf.DUMMYFUNCTION("""COMPUTED_VALUE"""),180.11)</f>
        <v>180.11</v>
      </c>
      <c r="F416" s="3">
        <f>IFERROR(__xludf.DUMMYFUNCTION("""COMPUTED_VALUE"""),8.8313477E7)</f>
        <v>88313477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>
        <f>IFERROR(__xludf.DUMMYFUNCTION("""COMPUTED_VALUE"""),45435.66666666667)</f>
        <v>45435.66667</v>
      </c>
      <c r="B417" s="3">
        <f>IFERROR(__xludf.DUMMYFUNCTION("""COMPUTED_VALUE"""),181.8)</f>
        <v>181.8</v>
      </c>
      <c r="C417" s="3">
        <f>IFERROR(__xludf.DUMMYFUNCTION("""COMPUTED_VALUE"""),181.9)</f>
        <v>181.9</v>
      </c>
      <c r="D417" s="3">
        <f>IFERROR(__xludf.DUMMYFUNCTION("""COMPUTED_VALUE"""),173.26)</f>
        <v>173.26</v>
      </c>
      <c r="E417" s="3">
        <f>IFERROR(__xludf.DUMMYFUNCTION("""COMPUTED_VALUE"""),173.74)</f>
        <v>173.74</v>
      </c>
      <c r="F417" s="3">
        <f>IFERROR(__xludf.DUMMYFUNCTION("""COMPUTED_VALUE"""),7.1975496E7)</f>
        <v>71975496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>
        <f>IFERROR(__xludf.DUMMYFUNCTION("""COMPUTED_VALUE"""),45436.66666666667)</f>
        <v>45436.66667</v>
      </c>
      <c r="B418" s="3">
        <f>IFERROR(__xludf.DUMMYFUNCTION("""COMPUTED_VALUE"""),174.84)</f>
        <v>174.84</v>
      </c>
      <c r="C418" s="3">
        <f>IFERROR(__xludf.DUMMYFUNCTION("""COMPUTED_VALUE"""),180.08)</f>
        <v>180.08</v>
      </c>
      <c r="D418" s="3">
        <f>IFERROR(__xludf.DUMMYFUNCTION("""COMPUTED_VALUE"""),173.73)</f>
        <v>173.73</v>
      </c>
      <c r="E418" s="3">
        <f>IFERROR(__xludf.DUMMYFUNCTION("""COMPUTED_VALUE"""),179.24)</f>
        <v>179.24</v>
      </c>
      <c r="F418" s="3">
        <f>IFERROR(__xludf.DUMMYFUNCTION("""COMPUTED_VALUE"""),6.5584478E7)</f>
        <v>65584478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>
        <f>IFERROR(__xludf.DUMMYFUNCTION("""COMPUTED_VALUE"""),45440.66666666667)</f>
        <v>45440.66667</v>
      </c>
      <c r="B419" s="3">
        <f>IFERROR(__xludf.DUMMYFUNCTION("""COMPUTED_VALUE"""),176.4)</f>
        <v>176.4</v>
      </c>
      <c r="C419" s="3">
        <f>IFERROR(__xludf.DUMMYFUNCTION("""COMPUTED_VALUE"""),178.25)</f>
        <v>178.25</v>
      </c>
      <c r="D419" s="3">
        <f>IFERROR(__xludf.DUMMYFUNCTION("""COMPUTED_VALUE"""),173.16)</f>
        <v>173.16</v>
      </c>
      <c r="E419" s="3">
        <f>IFERROR(__xludf.DUMMYFUNCTION("""COMPUTED_VALUE"""),176.75)</f>
        <v>176.75</v>
      </c>
      <c r="F419" s="3">
        <f>IFERROR(__xludf.DUMMYFUNCTION("""COMPUTED_VALUE"""),5.973662E7)</f>
        <v>59736620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>
        <f>IFERROR(__xludf.DUMMYFUNCTION("""COMPUTED_VALUE"""),45441.66666666667)</f>
        <v>45441.66667</v>
      </c>
      <c r="B420" s="3">
        <f>IFERROR(__xludf.DUMMYFUNCTION("""COMPUTED_VALUE"""),174.19)</f>
        <v>174.19</v>
      </c>
      <c r="C420" s="3">
        <f>IFERROR(__xludf.DUMMYFUNCTION("""COMPUTED_VALUE"""),178.15)</f>
        <v>178.15</v>
      </c>
      <c r="D420" s="3">
        <f>IFERROR(__xludf.DUMMYFUNCTION("""COMPUTED_VALUE"""),173.93)</f>
        <v>173.93</v>
      </c>
      <c r="E420" s="3">
        <f>IFERROR(__xludf.DUMMYFUNCTION("""COMPUTED_VALUE"""),176.19)</f>
        <v>176.19</v>
      </c>
      <c r="F420" s="3">
        <f>IFERROR(__xludf.DUMMYFUNCTION("""COMPUTED_VALUE"""),5.4782649E7)</f>
        <v>54782649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>
        <f>IFERROR(__xludf.DUMMYFUNCTION("""COMPUTED_VALUE"""),45442.66666666667)</f>
        <v>45442.66667</v>
      </c>
      <c r="B421" s="3">
        <f>IFERROR(__xludf.DUMMYFUNCTION("""COMPUTED_VALUE"""),178.58)</f>
        <v>178.58</v>
      </c>
      <c r="C421" s="3">
        <f>IFERROR(__xludf.DUMMYFUNCTION("""COMPUTED_VALUE"""),182.67)</f>
        <v>182.67</v>
      </c>
      <c r="D421" s="3">
        <f>IFERROR(__xludf.DUMMYFUNCTION("""COMPUTED_VALUE"""),175.38)</f>
        <v>175.38</v>
      </c>
      <c r="E421" s="3">
        <f>IFERROR(__xludf.DUMMYFUNCTION("""COMPUTED_VALUE"""),178.79)</f>
        <v>178.79</v>
      </c>
      <c r="F421" s="3">
        <f>IFERROR(__xludf.DUMMYFUNCTION("""COMPUTED_VALUE"""),7.7784755E7)</f>
        <v>77784755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>
        <f>IFERROR(__xludf.DUMMYFUNCTION("""COMPUTED_VALUE"""),45443.66666666667)</f>
        <v>45443.66667</v>
      </c>
      <c r="B422" s="3">
        <f>IFERROR(__xludf.DUMMYFUNCTION("""COMPUTED_VALUE"""),178.5)</f>
        <v>178.5</v>
      </c>
      <c r="C422" s="3">
        <f>IFERROR(__xludf.DUMMYFUNCTION("""COMPUTED_VALUE"""),180.32)</f>
        <v>180.32</v>
      </c>
      <c r="D422" s="3">
        <f>IFERROR(__xludf.DUMMYFUNCTION("""COMPUTED_VALUE"""),173.82)</f>
        <v>173.82</v>
      </c>
      <c r="E422" s="3">
        <f>IFERROR(__xludf.DUMMYFUNCTION("""COMPUTED_VALUE"""),178.08)</f>
        <v>178.08</v>
      </c>
      <c r="F422" s="3">
        <f>IFERROR(__xludf.DUMMYFUNCTION("""COMPUTED_VALUE"""),6.7314602E7)</f>
        <v>67314602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>
        <f>IFERROR(__xludf.DUMMYFUNCTION("""COMPUTED_VALUE"""),45446.66666666667)</f>
        <v>45446.66667</v>
      </c>
      <c r="B423" s="3">
        <f>IFERROR(__xludf.DUMMYFUNCTION("""COMPUTED_VALUE"""),178.13)</f>
        <v>178.13</v>
      </c>
      <c r="C423" s="3">
        <f>IFERROR(__xludf.DUMMYFUNCTION("""COMPUTED_VALUE"""),182.64)</f>
        <v>182.64</v>
      </c>
      <c r="D423" s="3">
        <f>IFERROR(__xludf.DUMMYFUNCTION("""COMPUTED_VALUE"""),174.49)</f>
        <v>174.49</v>
      </c>
      <c r="E423" s="3">
        <f>IFERROR(__xludf.DUMMYFUNCTION("""COMPUTED_VALUE"""),176.29)</f>
        <v>176.29</v>
      </c>
      <c r="F423" s="3">
        <f>IFERROR(__xludf.DUMMYFUNCTION("""COMPUTED_VALUE"""),6.856892E7)</f>
        <v>68568920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>
        <f>IFERROR(__xludf.DUMMYFUNCTION("""COMPUTED_VALUE"""),45447.66666666667)</f>
        <v>45447.66667</v>
      </c>
      <c r="B424" s="3">
        <f>IFERROR(__xludf.DUMMYFUNCTION("""COMPUTED_VALUE"""),174.78)</f>
        <v>174.78</v>
      </c>
      <c r="C424" s="3">
        <f>IFERROR(__xludf.DUMMYFUNCTION("""COMPUTED_VALUE"""),177.76)</f>
        <v>177.76</v>
      </c>
      <c r="D424" s="3">
        <f>IFERROR(__xludf.DUMMYFUNCTION("""COMPUTED_VALUE"""),174.0)</f>
        <v>174</v>
      </c>
      <c r="E424" s="3">
        <f>IFERROR(__xludf.DUMMYFUNCTION("""COMPUTED_VALUE"""),174.77)</f>
        <v>174.77</v>
      </c>
      <c r="F424" s="3">
        <f>IFERROR(__xludf.DUMMYFUNCTION("""COMPUTED_VALUE"""),6.005634E7)</f>
        <v>60056340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>
        <f>IFERROR(__xludf.DUMMYFUNCTION("""COMPUTED_VALUE"""),45448.66666666667)</f>
        <v>45448.66667</v>
      </c>
      <c r="B425" s="3">
        <f>IFERROR(__xludf.DUMMYFUNCTION("""COMPUTED_VALUE"""),175.35)</f>
        <v>175.35</v>
      </c>
      <c r="C425" s="3">
        <f>IFERROR(__xludf.DUMMYFUNCTION("""COMPUTED_VALUE"""),176.15)</f>
        <v>176.15</v>
      </c>
      <c r="D425" s="3">
        <f>IFERROR(__xludf.DUMMYFUNCTION("""COMPUTED_VALUE"""),172.13)</f>
        <v>172.13</v>
      </c>
      <c r="E425" s="3">
        <f>IFERROR(__xludf.DUMMYFUNCTION("""COMPUTED_VALUE"""),175.0)</f>
        <v>175</v>
      </c>
      <c r="F425" s="3">
        <f>IFERROR(__xludf.DUMMYFUNCTION("""COMPUTED_VALUE"""),5.7953756E7)</f>
        <v>57953756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>
        <f>IFERROR(__xludf.DUMMYFUNCTION("""COMPUTED_VALUE"""),45449.66666666667)</f>
        <v>45449.66667</v>
      </c>
      <c r="B426" s="3">
        <f>IFERROR(__xludf.DUMMYFUNCTION("""COMPUTED_VALUE"""),174.6)</f>
        <v>174.6</v>
      </c>
      <c r="C426" s="3">
        <f>IFERROR(__xludf.DUMMYFUNCTION("""COMPUTED_VALUE"""),179.73)</f>
        <v>179.73</v>
      </c>
      <c r="D426" s="3">
        <f>IFERROR(__xludf.DUMMYFUNCTION("""COMPUTED_VALUE"""),172.73)</f>
        <v>172.73</v>
      </c>
      <c r="E426" s="3">
        <f>IFERROR(__xludf.DUMMYFUNCTION("""COMPUTED_VALUE"""),177.94)</f>
        <v>177.94</v>
      </c>
      <c r="F426" s="3">
        <f>IFERROR(__xludf.DUMMYFUNCTION("""COMPUTED_VALUE"""),6.9887024E7)</f>
        <v>69887024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">
        <f>IFERROR(__xludf.DUMMYFUNCTION("""COMPUTED_VALUE"""),45450.66666666667)</f>
        <v>45450.66667</v>
      </c>
      <c r="B427" s="3">
        <f>IFERROR(__xludf.DUMMYFUNCTION("""COMPUTED_VALUE"""),176.13)</f>
        <v>176.13</v>
      </c>
      <c r="C427" s="3">
        <f>IFERROR(__xludf.DUMMYFUNCTION("""COMPUTED_VALUE"""),179.35)</f>
        <v>179.35</v>
      </c>
      <c r="D427" s="3">
        <f>IFERROR(__xludf.DUMMYFUNCTION("""COMPUTED_VALUE"""),175.58)</f>
        <v>175.58</v>
      </c>
      <c r="E427" s="3">
        <f>IFERROR(__xludf.DUMMYFUNCTION("""COMPUTED_VALUE"""),177.48)</f>
        <v>177.48</v>
      </c>
      <c r="F427" s="3">
        <f>IFERROR(__xludf.DUMMYFUNCTION("""COMPUTED_VALUE"""),5.6244932E7)</f>
        <v>56244932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">
        <f>IFERROR(__xludf.DUMMYFUNCTION("""COMPUTED_VALUE"""),45453.66666666667)</f>
        <v>45453.66667</v>
      </c>
      <c r="B428" s="3">
        <f>IFERROR(__xludf.DUMMYFUNCTION("""COMPUTED_VALUE"""),176.06)</f>
        <v>176.06</v>
      </c>
      <c r="C428" s="3">
        <f>IFERROR(__xludf.DUMMYFUNCTION("""COMPUTED_VALUE"""),178.57)</f>
        <v>178.57</v>
      </c>
      <c r="D428" s="3">
        <f>IFERROR(__xludf.DUMMYFUNCTION("""COMPUTED_VALUE"""),173.17)</f>
        <v>173.17</v>
      </c>
      <c r="E428" s="3">
        <f>IFERROR(__xludf.DUMMYFUNCTION("""COMPUTED_VALUE"""),173.79)</f>
        <v>173.79</v>
      </c>
      <c r="F428" s="3">
        <f>IFERROR(__xludf.DUMMYFUNCTION("""COMPUTED_VALUE"""),5.0869682E7)</f>
        <v>50869682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>
        <f>IFERROR(__xludf.DUMMYFUNCTION("""COMPUTED_VALUE"""),45454.66666666667)</f>
        <v>45454.66667</v>
      </c>
      <c r="B429" s="3">
        <f>IFERROR(__xludf.DUMMYFUNCTION("""COMPUTED_VALUE"""),173.92)</f>
        <v>173.92</v>
      </c>
      <c r="C429" s="3">
        <f>IFERROR(__xludf.DUMMYFUNCTION("""COMPUTED_VALUE"""),174.75)</f>
        <v>174.75</v>
      </c>
      <c r="D429" s="3">
        <f>IFERROR(__xludf.DUMMYFUNCTION("""COMPUTED_VALUE"""),167.41)</f>
        <v>167.41</v>
      </c>
      <c r="E429" s="3">
        <f>IFERROR(__xludf.DUMMYFUNCTION("""COMPUTED_VALUE"""),170.66)</f>
        <v>170.66</v>
      </c>
      <c r="F429" s="3">
        <f>IFERROR(__xludf.DUMMYFUNCTION("""COMPUTED_VALUE"""),6.4761928E7)</f>
        <v>64761928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>
        <f>IFERROR(__xludf.DUMMYFUNCTION("""COMPUTED_VALUE"""),45455.66666666667)</f>
        <v>45455.66667</v>
      </c>
      <c r="B430" s="3">
        <f>IFERROR(__xludf.DUMMYFUNCTION("""COMPUTED_VALUE"""),171.12)</f>
        <v>171.12</v>
      </c>
      <c r="C430" s="3">
        <f>IFERROR(__xludf.DUMMYFUNCTION("""COMPUTED_VALUE"""),180.55)</f>
        <v>180.55</v>
      </c>
      <c r="D430" s="3">
        <f>IFERROR(__xludf.DUMMYFUNCTION("""COMPUTED_VALUE"""),169.8)</f>
        <v>169.8</v>
      </c>
      <c r="E430" s="3">
        <f>IFERROR(__xludf.DUMMYFUNCTION("""COMPUTED_VALUE"""),177.29)</f>
        <v>177.29</v>
      </c>
      <c r="F430" s="3">
        <f>IFERROR(__xludf.DUMMYFUNCTION("""COMPUTED_VALUE"""),9.0389446E7)</f>
        <v>90389446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>
        <f>IFERROR(__xludf.DUMMYFUNCTION("""COMPUTED_VALUE"""),45456.66666666667)</f>
        <v>45456.66667</v>
      </c>
      <c r="B431" s="3">
        <f>IFERROR(__xludf.DUMMYFUNCTION("""COMPUTED_VALUE"""),188.39)</f>
        <v>188.39</v>
      </c>
      <c r="C431" s="3">
        <f>IFERROR(__xludf.DUMMYFUNCTION("""COMPUTED_VALUE"""),191.08)</f>
        <v>191.08</v>
      </c>
      <c r="D431" s="3">
        <f>IFERROR(__xludf.DUMMYFUNCTION("""COMPUTED_VALUE"""),181.23)</f>
        <v>181.23</v>
      </c>
      <c r="E431" s="3">
        <f>IFERROR(__xludf.DUMMYFUNCTION("""COMPUTED_VALUE"""),182.47)</f>
        <v>182.47</v>
      </c>
      <c r="F431" s="3">
        <f>IFERROR(__xludf.DUMMYFUNCTION("""COMPUTED_VALUE"""),1.18984122E8)</f>
        <v>118984122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>
        <f>IFERROR(__xludf.DUMMYFUNCTION("""COMPUTED_VALUE"""),45457.66666666667)</f>
        <v>45457.66667</v>
      </c>
      <c r="B432" s="3">
        <f>IFERROR(__xludf.DUMMYFUNCTION("""COMPUTED_VALUE"""),185.8)</f>
        <v>185.8</v>
      </c>
      <c r="C432" s="3">
        <f>IFERROR(__xludf.DUMMYFUNCTION("""COMPUTED_VALUE"""),186.0)</f>
        <v>186</v>
      </c>
      <c r="D432" s="3">
        <f>IFERROR(__xludf.DUMMYFUNCTION("""COMPUTED_VALUE"""),176.92)</f>
        <v>176.92</v>
      </c>
      <c r="E432" s="3">
        <f>IFERROR(__xludf.DUMMYFUNCTION("""COMPUTED_VALUE"""),178.01)</f>
        <v>178.01</v>
      </c>
      <c r="F432" s="3">
        <f>IFERROR(__xludf.DUMMYFUNCTION("""COMPUTED_VALUE"""),8.2038194E7)</f>
        <v>82038194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">
        <f>IFERROR(__xludf.DUMMYFUNCTION("""COMPUTED_VALUE"""),45460.66666666667)</f>
        <v>45460.66667</v>
      </c>
      <c r="B433" s="3">
        <f>IFERROR(__xludf.DUMMYFUNCTION("""COMPUTED_VALUE"""),177.92)</f>
        <v>177.92</v>
      </c>
      <c r="C433" s="3">
        <f>IFERROR(__xludf.DUMMYFUNCTION("""COMPUTED_VALUE"""),188.81)</f>
        <v>188.81</v>
      </c>
      <c r="D433" s="3">
        <f>IFERROR(__xludf.DUMMYFUNCTION("""COMPUTED_VALUE"""),177.0)</f>
        <v>177</v>
      </c>
      <c r="E433" s="3">
        <f>IFERROR(__xludf.DUMMYFUNCTION("""COMPUTED_VALUE"""),187.44)</f>
        <v>187.44</v>
      </c>
      <c r="F433" s="3">
        <f>IFERROR(__xludf.DUMMYFUNCTION("""COMPUTED_VALUE"""),1.09786083E8)</f>
        <v>109786083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>
        <f>IFERROR(__xludf.DUMMYFUNCTION("""COMPUTED_VALUE"""),45461.66666666667)</f>
        <v>45461.66667</v>
      </c>
      <c r="B434" s="3">
        <f>IFERROR(__xludf.DUMMYFUNCTION("""COMPUTED_VALUE"""),186.56)</f>
        <v>186.56</v>
      </c>
      <c r="C434" s="3">
        <f>IFERROR(__xludf.DUMMYFUNCTION("""COMPUTED_VALUE"""),187.2)</f>
        <v>187.2</v>
      </c>
      <c r="D434" s="3">
        <f>IFERROR(__xludf.DUMMYFUNCTION("""COMPUTED_VALUE"""),182.37)</f>
        <v>182.37</v>
      </c>
      <c r="E434" s="3">
        <f>IFERROR(__xludf.DUMMYFUNCTION("""COMPUTED_VALUE"""),184.86)</f>
        <v>184.86</v>
      </c>
      <c r="F434" s="3">
        <f>IFERROR(__xludf.DUMMYFUNCTION("""COMPUTED_VALUE"""),6.8982265E7)</f>
        <v>68982265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>
        <f>IFERROR(__xludf.DUMMYFUNCTION("""COMPUTED_VALUE"""),45463.66666666667)</f>
        <v>45463.66667</v>
      </c>
      <c r="B435" s="3">
        <f>IFERROR(__xludf.DUMMYFUNCTION("""COMPUTED_VALUE"""),184.68)</f>
        <v>184.68</v>
      </c>
      <c r="C435" s="3">
        <f>IFERROR(__xludf.DUMMYFUNCTION("""COMPUTED_VALUE"""),185.21)</f>
        <v>185.21</v>
      </c>
      <c r="D435" s="3">
        <f>IFERROR(__xludf.DUMMYFUNCTION("""COMPUTED_VALUE"""),179.66)</f>
        <v>179.66</v>
      </c>
      <c r="E435" s="3">
        <f>IFERROR(__xludf.DUMMYFUNCTION("""COMPUTED_VALUE"""),181.57)</f>
        <v>181.57</v>
      </c>
      <c r="F435" s="3">
        <f>IFERROR(__xludf.DUMMYFUNCTION("""COMPUTED_VALUE"""),5.5893139E7)</f>
        <v>55893139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>
        <f>IFERROR(__xludf.DUMMYFUNCTION("""COMPUTED_VALUE"""),45464.66666666667)</f>
        <v>45464.66667</v>
      </c>
      <c r="B436" s="3">
        <f>IFERROR(__xludf.DUMMYFUNCTION("""COMPUTED_VALUE"""),182.3)</f>
        <v>182.3</v>
      </c>
      <c r="C436" s="3">
        <f>IFERROR(__xludf.DUMMYFUNCTION("""COMPUTED_VALUE"""),183.95)</f>
        <v>183.95</v>
      </c>
      <c r="D436" s="3">
        <f>IFERROR(__xludf.DUMMYFUNCTION("""COMPUTED_VALUE"""),180.69)</f>
        <v>180.69</v>
      </c>
      <c r="E436" s="3">
        <f>IFERROR(__xludf.DUMMYFUNCTION("""COMPUTED_VALUE"""),183.01)</f>
        <v>183.01</v>
      </c>
      <c r="F436" s="3">
        <f>IFERROR(__xludf.DUMMYFUNCTION("""COMPUTED_VALUE"""),6.3029482E7)</f>
        <v>63029482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>
        <f>IFERROR(__xludf.DUMMYFUNCTION("""COMPUTED_VALUE"""),45467.66666666667)</f>
        <v>45467.66667</v>
      </c>
      <c r="B437" s="3">
        <f>IFERROR(__xludf.DUMMYFUNCTION("""COMPUTED_VALUE"""),184.97)</f>
        <v>184.97</v>
      </c>
      <c r="C437" s="3">
        <f>IFERROR(__xludf.DUMMYFUNCTION("""COMPUTED_VALUE"""),188.8)</f>
        <v>188.8</v>
      </c>
      <c r="D437" s="3">
        <f>IFERROR(__xludf.DUMMYFUNCTION("""COMPUTED_VALUE"""),182.55)</f>
        <v>182.55</v>
      </c>
      <c r="E437" s="3">
        <f>IFERROR(__xludf.DUMMYFUNCTION("""COMPUTED_VALUE"""),182.58)</f>
        <v>182.58</v>
      </c>
      <c r="F437" s="3">
        <f>IFERROR(__xludf.DUMMYFUNCTION("""COMPUTED_VALUE"""),6.199207E7)</f>
        <v>61992070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>
        <f>IFERROR(__xludf.DUMMYFUNCTION("""COMPUTED_VALUE"""),45468.66666666667)</f>
        <v>45468.66667</v>
      </c>
      <c r="B438" s="3">
        <f>IFERROR(__xludf.DUMMYFUNCTION("""COMPUTED_VALUE"""),184.4)</f>
        <v>184.4</v>
      </c>
      <c r="C438" s="3">
        <f>IFERROR(__xludf.DUMMYFUNCTION("""COMPUTED_VALUE"""),187.97)</f>
        <v>187.97</v>
      </c>
      <c r="D438" s="3">
        <f>IFERROR(__xludf.DUMMYFUNCTION("""COMPUTED_VALUE"""),182.01)</f>
        <v>182.01</v>
      </c>
      <c r="E438" s="3">
        <f>IFERROR(__xludf.DUMMYFUNCTION("""COMPUTED_VALUE"""),187.35)</f>
        <v>187.35</v>
      </c>
      <c r="F438" s="3">
        <f>IFERROR(__xludf.DUMMYFUNCTION("""COMPUTED_VALUE"""),6.3678265E7)</f>
        <v>63678265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>
        <f>IFERROR(__xludf.DUMMYFUNCTION("""COMPUTED_VALUE"""),45469.66666666667)</f>
        <v>45469.66667</v>
      </c>
      <c r="B439" s="3">
        <f>IFERROR(__xludf.DUMMYFUNCTION("""COMPUTED_VALUE"""),186.54)</f>
        <v>186.54</v>
      </c>
      <c r="C439" s="3">
        <f>IFERROR(__xludf.DUMMYFUNCTION("""COMPUTED_VALUE"""),197.76)</f>
        <v>197.76</v>
      </c>
      <c r="D439" s="3">
        <f>IFERROR(__xludf.DUMMYFUNCTION("""COMPUTED_VALUE"""),186.36)</f>
        <v>186.36</v>
      </c>
      <c r="E439" s="3">
        <f>IFERROR(__xludf.DUMMYFUNCTION("""COMPUTED_VALUE"""),196.37)</f>
        <v>196.37</v>
      </c>
      <c r="F439" s="3">
        <f>IFERROR(__xludf.DUMMYFUNCTION("""COMPUTED_VALUE"""),9.5737066E7)</f>
        <v>95737066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>
        <f>IFERROR(__xludf.DUMMYFUNCTION("""COMPUTED_VALUE"""),45470.66666666667)</f>
        <v>45470.66667</v>
      </c>
      <c r="B440" s="3">
        <f>IFERROR(__xludf.DUMMYFUNCTION("""COMPUTED_VALUE"""),195.17)</f>
        <v>195.17</v>
      </c>
      <c r="C440" s="3">
        <f>IFERROR(__xludf.DUMMYFUNCTION("""COMPUTED_VALUE"""),198.72)</f>
        <v>198.72</v>
      </c>
      <c r="D440" s="3">
        <f>IFERROR(__xludf.DUMMYFUNCTION("""COMPUTED_VALUE"""),194.05)</f>
        <v>194.05</v>
      </c>
      <c r="E440" s="3">
        <f>IFERROR(__xludf.DUMMYFUNCTION("""COMPUTED_VALUE"""),197.42)</f>
        <v>197.42</v>
      </c>
      <c r="F440" s="3">
        <f>IFERROR(__xludf.DUMMYFUNCTION("""COMPUTED_VALUE"""),7.2746521E7)</f>
        <v>72746521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>
        <f>IFERROR(__xludf.DUMMYFUNCTION("""COMPUTED_VALUE"""),45471.66666666667)</f>
        <v>45471.66667</v>
      </c>
      <c r="B441" s="3">
        <f>IFERROR(__xludf.DUMMYFUNCTION("""COMPUTED_VALUE"""),199.55)</f>
        <v>199.55</v>
      </c>
      <c r="C441" s="3">
        <f>IFERROR(__xludf.DUMMYFUNCTION("""COMPUTED_VALUE"""),203.2)</f>
        <v>203.2</v>
      </c>
      <c r="D441" s="3">
        <f>IFERROR(__xludf.DUMMYFUNCTION("""COMPUTED_VALUE"""),195.26)</f>
        <v>195.26</v>
      </c>
      <c r="E441" s="3">
        <f>IFERROR(__xludf.DUMMYFUNCTION("""COMPUTED_VALUE"""),197.88)</f>
        <v>197.88</v>
      </c>
      <c r="F441" s="3">
        <f>IFERROR(__xludf.DUMMYFUNCTION("""COMPUTED_VALUE"""),9.5438068E7)</f>
        <v>95438068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>
        <f>IFERROR(__xludf.DUMMYFUNCTION("""COMPUTED_VALUE"""),45474.66666666667)</f>
        <v>45474.66667</v>
      </c>
      <c r="B442" s="3">
        <f>IFERROR(__xludf.DUMMYFUNCTION("""COMPUTED_VALUE"""),201.02)</f>
        <v>201.02</v>
      </c>
      <c r="C442" s="3">
        <f>IFERROR(__xludf.DUMMYFUNCTION("""COMPUTED_VALUE"""),213.23)</f>
        <v>213.23</v>
      </c>
      <c r="D442" s="3">
        <f>IFERROR(__xludf.DUMMYFUNCTION("""COMPUTED_VALUE"""),200.85)</f>
        <v>200.85</v>
      </c>
      <c r="E442" s="3">
        <f>IFERROR(__xludf.DUMMYFUNCTION("""COMPUTED_VALUE"""),209.86)</f>
        <v>209.86</v>
      </c>
      <c r="F442" s="3">
        <f>IFERROR(__xludf.DUMMYFUNCTION("""COMPUTED_VALUE"""),1.35691395E8)</f>
        <v>135691395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>
        <f>IFERROR(__xludf.DUMMYFUNCTION("""COMPUTED_VALUE"""),45475.66666666667)</f>
        <v>45475.66667</v>
      </c>
      <c r="B443" s="3">
        <f>IFERROR(__xludf.DUMMYFUNCTION("""COMPUTED_VALUE"""),218.89)</f>
        <v>218.89</v>
      </c>
      <c r="C443" s="3">
        <f>IFERROR(__xludf.DUMMYFUNCTION("""COMPUTED_VALUE"""),231.3)</f>
        <v>231.3</v>
      </c>
      <c r="D443" s="3">
        <f>IFERROR(__xludf.DUMMYFUNCTION("""COMPUTED_VALUE"""),218.06)</f>
        <v>218.06</v>
      </c>
      <c r="E443" s="3">
        <f>IFERROR(__xludf.DUMMYFUNCTION("""COMPUTED_VALUE"""),231.26)</f>
        <v>231.26</v>
      </c>
      <c r="F443" s="3">
        <f>IFERROR(__xludf.DUMMYFUNCTION("""COMPUTED_VALUE"""),2.0504792E8)</f>
        <v>205047920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>
        <f>IFERROR(__xludf.DUMMYFUNCTION("""COMPUTED_VALUE"""),45476.54513888889)</f>
        <v>45476.54514</v>
      </c>
      <c r="B444" s="3">
        <f>IFERROR(__xludf.DUMMYFUNCTION("""COMPUTED_VALUE"""),234.56)</f>
        <v>234.56</v>
      </c>
      <c r="C444" s="3">
        <f>IFERROR(__xludf.DUMMYFUNCTION("""COMPUTED_VALUE"""),248.35)</f>
        <v>248.35</v>
      </c>
      <c r="D444" s="3">
        <f>IFERROR(__xludf.DUMMYFUNCTION("""COMPUTED_VALUE"""),234.25)</f>
        <v>234.25</v>
      </c>
      <c r="E444" s="3">
        <f>IFERROR(__xludf.DUMMYFUNCTION("""COMPUTED_VALUE"""),246.39)</f>
        <v>246.39</v>
      </c>
      <c r="F444" s="3">
        <f>IFERROR(__xludf.DUMMYFUNCTION("""COMPUTED_VALUE"""),1.66561471E8)</f>
        <v>166561471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>
        <f>IFERROR(__xludf.DUMMYFUNCTION("""COMPUTED_VALUE"""),45478.66666666667)</f>
        <v>45478.66667</v>
      </c>
      <c r="B445" s="3">
        <f>IFERROR(__xludf.DUMMYFUNCTION("""COMPUTED_VALUE"""),249.81)</f>
        <v>249.81</v>
      </c>
      <c r="C445" s="3">
        <f>IFERROR(__xludf.DUMMYFUNCTION("""COMPUTED_VALUE"""),252.37)</f>
        <v>252.37</v>
      </c>
      <c r="D445" s="3">
        <f>IFERROR(__xludf.DUMMYFUNCTION("""COMPUTED_VALUE"""),242.46)</f>
        <v>242.46</v>
      </c>
      <c r="E445" s="3">
        <f>IFERROR(__xludf.DUMMYFUNCTION("""COMPUTED_VALUE"""),251.52)</f>
        <v>251.52</v>
      </c>
      <c r="F445" s="3">
        <f>IFERROR(__xludf.DUMMYFUNCTION("""COMPUTED_VALUE"""),1.54501152E8)</f>
        <v>154501152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>
        <f>IFERROR(__xludf.DUMMYFUNCTION("""COMPUTED_VALUE"""),45481.66666666667)</f>
        <v>45481.66667</v>
      </c>
      <c r="B446" s="3">
        <f>IFERROR(__xludf.DUMMYFUNCTION("""COMPUTED_VALUE"""),247.71)</f>
        <v>247.71</v>
      </c>
      <c r="C446" s="3">
        <f>IFERROR(__xludf.DUMMYFUNCTION("""COMPUTED_VALUE"""),259.44)</f>
        <v>259.44</v>
      </c>
      <c r="D446" s="3">
        <f>IFERROR(__xludf.DUMMYFUNCTION("""COMPUTED_VALUE"""),244.57)</f>
        <v>244.57</v>
      </c>
      <c r="E446" s="3">
        <f>IFERROR(__xludf.DUMMYFUNCTION("""COMPUTED_VALUE"""),252.94)</f>
        <v>252.94</v>
      </c>
      <c r="F446" s="3">
        <f>IFERROR(__xludf.DUMMYFUNCTION("""COMPUTED_VALUE"""),1.5721958E8)</f>
        <v>157219580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>
        <f>IFERROR(__xludf.DUMMYFUNCTION("""COMPUTED_VALUE"""),45482.66666666667)</f>
        <v>45482.66667</v>
      </c>
      <c r="B447" s="3">
        <f>IFERROR(__xludf.DUMMYFUNCTION("""COMPUTED_VALUE"""),251.0)</f>
        <v>251</v>
      </c>
      <c r="C447" s="3">
        <f>IFERROR(__xludf.DUMMYFUNCTION("""COMPUTED_VALUE"""),265.61)</f>
        <v>265.61</v>
      </c>
      <c r="D447" s="3">
        <f>IFERROR(__xludf.DUMMYFUNCTION("""COMPUTED_VALUE"""),250.3)</f>
        <v>250.3</v>
      </c>
      <c r="E447" s="3">
        <f>IFERROR(__xludf.DUMMYFUNCTION("""COMPUTED_VALUE"""),262.33)</f>
        <v>262.33</v>
      </c>
      <c r="F447" s="3">
        <f>IFERROR(__xludf.DUMMYFUNCTION("""COMPUTED_VALUE"""),1.60742516E8)</f>
        <v>160742516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>
        <f>IFERROR(__xludf.DUMMYFUNCTION("""COMPUTED_VALUE"""),45483.66666666667)</f>
        <v>45483.66667</v>
      </c>
      <c r="B448" s="3">
        <f>IFERROR(__xludf.DUMMYFUNCTION("""COMPUTED_VALUE"""),262.8)</f>
        <v>262.8</v>
      </c>
      <c r="C448" s="3">
        <f>IFERROR(__xludf.DUMMYFUNCTION("""COMPUTED_VALUE"""),267.59)</f>
        <v>267.59</v>
      </c>
      <c r="D448" s="3">
        <f>IFERROR(__xludf.DUMMYFUNCTION("""COMPUTED_VALUE"""),257.86)</f>
        <v>257.86</v>
      </c>
      <c r="E448" s="3">
        <f>IFERROR(__xludf.DUMMYFUNCTION("""COMPUTED_VALUE"""),263.26)</f>
        <v>263.26</v>
      </c>
      <c r="F448" s="3">
        <f>IFERROR(__xludf.DUMMYFUNCTION("""COMPUTED_VALUE"""),1.2851943E8)</f>
        <v>128519430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>
        <f>IFERROR(__xludf.DUMMYFUNCTION("""COMPUTED_VALUE"""),45484.66666666667)</f>
        <v>45484.66667</v>
      </c>
      <c r="B449" s="3">
        <f>IFERROR(__xludf.DUMMYFUNCTION("""COMPUTED_VALUE"""),263.3)</f>
        <v>263.3</v>
      </c>
      <c r="C449" s="3">
        <f>IFERROR(__xludf.DUMMYFUNCTION("""COMPUTED_VALUE"""),271.0)</f>
        <v>271</v>
      </c>
      <c r="D449" s="3">
        <f>IFERROR(__xludf.DUMMYFUNCTION("""COMPUTED_VALUE"""),239.65)</f>
        <v>239.65</v>
      </c>
      <c r="E449" s="3">
        <f>IFERROR(__xludf.DUMMYFUNCTION("""COMPUTED_VALUE"""),241.03)</f>
        <v>241.03</v>
      </c>
      <c r="F449" s="3">
        <f>IFERROR(__xludf.DUMMYFUNCTION("""COMPUTED_VALUE"""),2.21707273E8)</f>
        <v>221707273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>
        <f>IFERROR(__xludf.DUMMYFUNCTION("""COMPUTED_VALUE"""),45485.66666666667)</f>
        <v>45485.66667</v>
      </c>
      <c r="B450" s="3">
        <f>IFERROR(__xludf.DUMMYFUNCTION("""COMPUTED_VALUE"""),235.8)</f>
        <v>235.8</v>
      </c>
      <c r="C450" s="3">
        <f>IFERROR(__xludf.DUMMYFUNCTION("""COMPUTED_VALUE"""),251.84)</f>
        <v>251.84</v>
      </c>
      <c r="D450" s="3">
        <f>IFERROR(__xludf.DUMMYFUNCTION("""COMPUTED_VALUE"""),233.09)</f>
        <v>233.09</v>
      </c>
      <c r="E450" s="3">
        <f>IFERROR(__xludf.DUMMYFUNCTION("""COMPUTED_VALUE"""),248.23)</f>
        <v>248.23</v>
      </c>
      <c r="F450" s="3">
        <f>IFERROR(__xludf.DUMMYFUNCTION("""COMPUTED_VALUE"""),1.55955773E8)</f>
        <v>155955773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">
        <f>IFERROR(__xludf.DUMMYFUNCTION("""COMPUTED_VALUE"""),45488.66666666667)</f>
        <v>45488.66667</v>
      </c>
      <c r="B451" s="3">
        <f>IFERROR(__xludf.DUMMYFUNCTION("""COMPUTED_VALUE"""),255.97)</f>
        <v>255.97</v>
      </c>
      <c r="C451" s="3">
        <f>IFERROR(__xludf.DUMMYFUNCTION("""COMPUTED_VALUE"""),265.6)</f>
        <v>265.6</v>
      </c>
      <c r="D451" s="3">
        <f>IFERROR(__xludf.DUMMYFUNCTION("""COMPUTED_VALUE"""),251.73)</f>
        <v>251.73</v>
      </c>
      <c r="E451" s="3">
        <f>IFERROR(__xludf.DUMMYFUNCTION("""COMPUTED_VALUE"""),252.64)</f>
        <v>252.64</v>
      </c>
      <c r="F451" s="3">
        <f>IFERROR(__xludf.DUMMYFUNCTION("""COMPUTED_VALUE"""),1.4691292E8)</f>
        <v>146912920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">
        <f>IFERROR(__xludf.DUMMYFUNCTION("""COMPUTED_VALUE"""),45489.66666666667)</f>
        <v>45489.66667</v>
      </c>
      <c r="B452" s="3">
        <f>IFERROR(__xludf.DUMMYFUNCTION("""COMPUTED_VALUE"""),255.31)</f>
        <v>255.31</v>
      </c>
      <c r="C452" s="3">
        <f>IFERROR(__xludf.DUMMYFUNCTION("""COMPUTED_VALUE"""),258.62)</f>
        <v>258.62</v>
      </c>
      <c r="D452" s="3">
        <f>IFERROR(__xludf.DUMMYFUNCTION("""COMPUTED_VALUE"""),245.8)</f>
        <v>245.8</v>
      </c>
      <c r="E452" s="3">
        <f>IFERROR(__xludf.DUMMYFUNCTION("""COMPUTED_VALUE"""),256.56)</f>
        <v>256.56</v>
      </c>
      <c r="F452" s="3">
        <f>IFERROR(__xludf.DUMMYFUNCTION("""COMPUTED_VALUE"""),1.2633247E8)</f>
        <v>126332470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>
        <f>IFERROR(__xludf.DUMMYFUNCTION("""COMPUTED_VALUE"""),45490.66666666667)</f>
        <v>45490.66667</v>
      </c>
      <c r="B453" s="3">
        <f>IFERROR(__xludf.DUMMYFUNCTION("""COMPUTED_VALUE"""),252.73)</f>
        <v>252.73</v>
      </c>
      <c r="C453" s="3">
        <f>IFERROR(__xludf.DUMMYFUNCTION("""COMPUTED_VALUE"""),258.47)</f>
        <v>258.47</v>
      </c>
      <c r="D453" s="3">
        <f>IFERROR(__xludf.DUMMYFUNCTION("""COMPUTED_VALUE"""),246.18)</f>
        <v>246.18</v>
      </c>
      <c r="E453" s="3">
        <f>IFERROR(__xludf.DUMMYFUNCTION("""COMPUTED_VALUE"""),248.5)</f>
        <v>248.5</v>
      </c>
      <c r="F453" s="3">
        <f>IFERROR(__xludf.DUMMYFUNCTION("""COMPUTED_VALUE"""),1.1558481E8)</f>
        <v>115584810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>
        <f>IFERROR(__xludf.DUMMYFUNCTION("""COMPUTED_VALUE"""),45491.66666666667)</f>
        <v>45491.66667</v>
      </c>
      <c r="B454" s="3">
        <f>IFERROR(__xludf.DUMMYFUNCTION("""COMPUTED_VALUE"""),251.09)</f>
        <v>251.09</v>
      </c>
      <c r="C454" s="3">
        <f>IFERROR(__xludf.DUMMYFUNCTION("""COMPUTED_VALUE"""),257.14)</f>
        <v>257.14</v>
      </c>
      <c r="D454" s="3">
        <f>IFERROR(__xludf.DUMMYFUNCTION("""COMPUTED_VALUE"""),247.2)</f>
        <v>247.2</v>
      </c>
      <c r="E454" s="3">
        <f>IFERROR(__xludf.DUMMYFUNCTION("""COMPUTED_VALUE"""),249.23)</f>
        <v>249.23</v>
      </c>
      <c r="F454" s="3">
        <f>IFERROR(__xludf.DUMMYFUNCTION("""COMPUTED_VALUE"""),1.10869037E8)</f>
        <v>110869037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>
        <f>IFERROR(__xludf.DUMMYFUNCTION("""COMPUTED_VALUE"""),45492.66666666667)</f>
        <v>45492.66667</v>
      </c>
      <c r="B455" s="3">
        <f>IFERROR(__xludf.DUMMYFUNCTION("""COMPUTED_VALUE"""),247.79)</f>
        <v>247.79</v>
      </c>
      <c r="C455" s="3">
        <f>IFERROR(__xludf.DUMMYFUNCTION("""COMPUTED_VALUE"""),249.44)</f>
        <v>249.44</v>
      </c>
      <c r="D455" s="3">
        <f>IFERROR(__xludf.DUMMYFUNCTION("""COMPUTED_VALUE"""),236.83)</f>
        <v>236.83</v>
      </c>
      <c r="E455" s="3">
        <f>IFERROR(__xludf.DUMMYFUNCTION("""COMPUTED_VALUE"""),239.2)</f>
        <v>239.2</v>
      </c>
      <c r="F455" s="3">
        <f>IFERROR(__xludf.DUMMYFUNCTION("""COMPUTED_VALUE"""),8.7403903E7)</f>
        <v>87403903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>
        <f>IFERROR(__xludf.DUMMYFUNCTION("""COMPUTED_VALUE"""),45495.66666666667)</f>
        <v>45495.66667</v>
      </c>
      <c r="B456" s="3">
        <f>IFERROR(__xludf.DUMMYFUNCTION("""COMPUTED_VALUE"""),244.21)</f>
        <v>244.21</v>
      </c>
      <c r="C456" s="3">
        <f>IFERROR(__xludf.DUMMYFUNCTION("""COMPUTED_VALUE"""),253.21)</f>
        <v>253.21</v>
      </c>
      <c r="D456" s="3">
        <f>IFERROR(__xludf.DUMMYFUNCTION("""COMPUTED_VALUE"""),243.75)</f>
        <v>243.75</v>
      </c>
      <c r="E456" s="3">
        <f>IFERROR(__xludf.DUMMYFUNCTION("""COMPUTED_VALUE"""),251.51)</f>
        <v>251.51</v>
      </c>
      <c r="F456" s="3">
        <f>IFERROR(__xludf.DUMMYFUNCTION("""COMPUTED_VALUE"""),1.0122543E8)</f>
        <v>101225430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">
        <f>IFERROR(__xludf.DUMMYFUNCTION("""COMPUTED_VALUE"""),45496.66666666667)</f>
        <v>45496.66667</v>
      </c>
      <c r="B457" s="3">
        <f>IFERROR(__xludf.DUMMYFUNCTION("""COMPUTED_VALUE"""),253.6)</f>
        <v>253.6</v>
      </c>
      <c r="C457" s="3">
        <f>IFERROR(__xludf.DUMMYFUNCTION("""COMPUTED_VALUE"""),255.76)</f>
        <v>255.76</v>
      </c>
      <c r="D457" s="3">
        <f>IFERROR(__xludf.DUMMYFUNCTION("""COMPUTED_VALUE"""),245.63)</f>
        <v>245.63</v>
      </c>
      <c r="E457" s="3">
        <f>IFERROR(__xludf.DUMMYFUNCTION("""COMPUTED_VALUE"""),246.38)</f>
        <v>246.38</v>
      </c>
      <c r="F457" s="3">
        <f>IFERROR(__xludf.DUMMYFUNCTION("""COMPUTED_VALUE"""),1.11928192E8)</f>
        <v>111928192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">
        <f>IFERROR(__xludf.DUMMYFUNCTION("""COMPUTED_VALUE"""),45497.66666666667)</f>
        <v>45497.66667</v>
      </c>
      <c r="B458" s="3">
        <f>IFERROR(__xludf.DUMMYFUNCTION("""COMPUTED_VALUE"""),225.42)</f>
        <v>225.42</v>
      </c>
      <c r="C458" s="3">
        <f>IFERROR(__xludf.DUMMYFUNCTION("""COMPUTED_VALUE"""),225.99)</f>
        <v>225.99</v>
      </c>
      <c r="D458" s="3">
        <f>IFERROR(__xludf.DUMMYFUNCTION("""COMPUTED_VALUE"""),214.71)</f>
        <v>214.71</v>
      </c>
      <c r="E458" s="3">
        <f>IFERROR(__xludf.DUMMYFUNCTION("""COMPUTED_VALUE"""),215.99)</f>
        <v>215.99</v>
      </c>
      <c r="F458" s="3">
        <f>IFERROR(__xludf.DUMMYFUNCTION("""COMPUTED_VALUE"""),1.67942939E8)</f>
        <v>167942939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>
        <f>IFERROR(__xludf.DUMMYFUNCTION("""COMPUTED_VALUE"""),45498.66666666667)</f>
        <v>45498.66667</v>
      </c>
      <c r="B459" s="3">
        <f>IFERROR(__xludf.DUMMYFUNCTION("""COMPUTED_VALUE"""),216.8)</f>
        <v>216.8</v>
      </c>
      <c r="C459" s="3">
        <f>IFERROR(__xludf.DUMMYFUNCTION("""COMPUTED_VALUE"""),226.0)</f>
        <v>226</v>
      </c>
      <c r="D459" s="3">
        <f>IFERROR(__xludf.DUMMYFUNCTION("""COMPUTED_VALUE"""),216.23)</f>
        <v>216.23</v>
      </c>
      <c r="E459" s="3">
        <f>IFERROR(__xludf.DUMMYFUNCTION("""COMPUTED_VALUE"""),220.25)</f>
        <v>220.25</v>
      </c>
      <c r="F459" s="3">
        <f>IFERROR(__xludf.DUMMYFUNCTION("""COMPUTED_VALUE"""),1.00636466E8)</f>
        <v>100636466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>
        <f>IFERROR(__xludf.DUMMYFUNCTION("""COMPUTED_VALUE"""),45499.66666666667)</f>
        <v>45499.66667</v>
      </c>
      <c r="B460" s="3">
        <f>IFERROR(__xludf.DUMMYFUNCTION("""COMPUTED_VALUE"""),221.19)</f>
        <v>221.19</v>
      </c>
      <c r="C460" s="3">
        <f>IFERROR(__xludf.DUMMYFUNCTION("""COMPUTED_VALUE"""),222.28)</f>
        <v>222.28</v>
      </c>
      <c r="D460" s="3">
        <f>IFERROR(__xludf.DUMMYFUNCTION("""COMPUTED_VALUE"""),215.33)</f>
        <v>215.33</v>
      </c>
      <c r="E460" s="3">
        <f>IFERROR(__xludf.DUMMYFUNCTION("""COMPUTED_VALUE"""),219.8)</f>
        <v>219.8</v>
      </c>
      <c r="F460" s="3">
        <f>IFERROR(__xludf.DUMMYFUNCTION("""COMPUTED_VALUE"""),9.4604145E7)</f>
        <v>94604145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>
        <f>IFERROR(__xludf.DUMMYFUNCTION("""COMPUTED_VALUE"""),45502.66666666667)</f>
        <v>45502.66667</v>
      </c>
      <c r="B461" s="3">
        <f>IFERROR(__xludf.DUMMYFUNCTION("""COMPUTED_VALUE"""),224.9)</f>
        <v>224.9</v>
      </c>
      <c r="C461" s="3">
        <f>IFERROR(__xludf.DUMMYFUNCTION("""COMPUTED_VALUE"""),234.27)</f>
        <v>234.27</v>
      </c>
      <c r="D461" s="3">
        <f>IFERROR(__xludf.DUMMYFUNCTION("""COMPUTED_VALUE"""),224.7)</f>
        <v>224.7</v>
      </c>
      <c r="E461" s="3">
        <f>IFERROR(__xludf.DUMMYFUNCTION("""COMPUTED_VALUE"""),232.1)</f>
        <v>232.1</v>
      </c>
      <c r="F461" s="3">
        <f>IFERROR(__xludf.DUMMYFUNCTION("""COMPUTED_VALUE"""),1.29201789E8)</f>
        <v>129201789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>
        <f>IFERROR(__xludf.DUMMYFUNCTION("""COMPUTED_VALUE"""),45503.66666666667)</f>
        <v>45503.66667</v>
      </c>
      <c r="B462" s="3">
        <f>IFERROR(__xludf.DUMMYFUNCTION("""COMPUTED_VALUE"""),232.25)</f>
        <v>232.25</v>
      </c>
      <c r="C462" s="3">
        <f>IFERROR(__xludf.DUMMYFUNCTION("""COMPUTED_VALUE"""),232.41)</f>
        <v>232.41</v>
      </c>
      <c r="D462" s="3">
        <f>IFERROR(__xludf.DUMMYFUNCTION("""COMPUTED_VALUE"""),220.0)</f>
        <v>220</v>
      </c>
      <c r="E462" s="3">
        <f>IFERROR(__xludf.DUMMYFUNCTION("""COMPUTED_VALUE"""),222.62)</f>
        <v>222.62</v>
      </c>
      <c r="F462" s="3">
        <f>IFERROR(__xludf.DUMMYFUNCTION("""COMPUTED_VALUE"""),1.00560334E8)</f>
        <v>100560334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>
        <f>IFERROR(__xludf.DUMMYFUNCTION("""COMPUTED_VALUE"""),45504.66666666667)</f>
        <v>45504.66667</v>
      </c>
      <c r="B463" s="3">
        <f>IFERROR(__xludf.DUMMYFUNCTION("""COMPUTED_VALUE"""),227.9)</f>
        <v>227.9</v>
      </c>
      <c r="C463" s="3">
        <f>IFERROR(__xludf.DUMMYFUNCTION("""COMPUTED_VALUE"""),234.68)</f>
        <v>234.68</v>
      </c>
      <c r="D463" s="3">
        <f>IFERROR(__xludf.DUMMYFUNCTION("""COMPUTED_VALUE"""),226.79)</f>
        <v>226.79</v>
      </c>
      <c r="E463" s="3">
        <f>IFERROR(__xludf.DUMMYFUNCTION("""COMPUTED_VALUE"""),232.07)</f>
        <v>232.07</v>
      </c>
      <c r="F463" s="3">
        <f>IFERROR(__xludf.DUMMYFUNCTION("""COMPUTED_VALUE"""),6.7497011E7)</f>
        <v>67497011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>
        <f>IFERROR(__xludf.DUMMYFUNCTION("""COMPUTED_VALUE"""),45505.66666666667)</f>
        <v>45505.66667</v>
      </c>
      <c r="B464" s="3">
        <f>IFERROR(__xludf.DUMMYFUNCTION("""COMPUTED_VALUE"""),227.69)</f>
        <v>227.69</v>
      </c>
      <c r="C464" s="3">
        <f>IFERROR(__xludf.DUMMYFUNCTION("""COMPUTED_VALUE"""),231.87)</f>
        <v>231.87</v>
      </c>
      <c r="D464" s="3">
        <f>IFERROR(__xludf.DUMMYFUNCTION("""COMPUTED_VALUE"""),214.33)</f>
        <v>214.33</v>
      </c>
      <c r="E464" s="3">
        <f>IFERROR(__xludf.DUMMYFUNCTION("""COMPUTED_VALUE"""),216.86)</f>
        <v>216.86</v>
      </c>
      <c r="F464" s="3">
        <f>IFERROR(__xludf.DUMMYFUNCTION("""COMPUTED_VALUE"""),8.3861898E7)</f>
        <v>83861898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>
        <f>IFERROR(__xludf.DUMMYFUNCTION("""COMPUTED_VALUE"""),45506.66666666667)</f>
        <v>45506.66667</v>
      </c>
      <c r="B465" s="3">
        <f>IFERROR(__xludf.DUMMYFUNCTION("""COMPUTED_VALUE"""),214.88)</f>
        <v>214.88</v>
      </c>
      <c r="C465" s="3">
        <f>IFERROR(__xludf.DUMMYFUNCTION("""COMPUTED_VALUE"""),216.13)</f>
        <v>216.13</v>
      </c>
      <c r="D465" s="3">
        <f>IFERROR(__xludf.DUMMYFUNCTION("""COMPUTED_VALUE"""),205.78)</f>
        <v>205.78</v>
      </c>
      <c r="E465" s="3">
        <f>IFERROR(__xludf.DUMMYFUNCTION("""COMPUTED_VALUE"""),207.67)</f>
        <v>207.67</v>
      </c>
      <c r="F465" s="3">
        <f>IFERROR(__xludf.DUMMYFUNCTION("""COMPUTED_VALUE"""),8.288012E7)</f>
        <v>82880120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>
        <f>IFERROR(__xludf.DUMMYFUNCTION("""COMPUTED_VALUE"""),45509.66666666667)</f>
        <v>45509.66667</v>
      </c>
      <c r="B466" s="3">
        <f>IFERROR(__xludf.DUMMYFUNCTION("""COMPUTED_VALUE"""),185.22)</f>
        <v>185.22</v>
      </c>
      <c r="C466" s="3">
        <f>IFERROR(__xludf.DUMMYFUNCTION("""COMPUTED_VALUE"""),203.88)</f>
        <v>203.88</v>
      </c>
      <c r="D466" s="3">
        <f>IFERROR(__xludf.DUMMYFUNCTION("""COMPUTED_VALUE"""),182.0)</f>
        <v>182</v>
      </c>
      <c r="E466" s="3">
        <f>IFERROR(__xludf.DUMMYFUNCTION("""COMPUTED_VALUE"""),198.88)</f>
        <v>198.88</v>
      </c>
      <c r="F466" s="3">
        <f>IFERROR(__xludf.DUMMYFUNCTION("""COMPUTED_VALUE"""),1.00308836E8)</f>
        <v>100308836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>
        <f>IFERROR(__xludf.DUMMYFUNCTION("""COMPUTED_VALUE"""),45510.66666666667)</f>
        <v>45510.66667</v>
      </c>
      <c r="B467" s="3">
        <f>IFERROR(__xludf.DUMMYFUNCTION("""COMPUTED_VALUE"""),200.75)</f>
        <v>200.75</v>
      </c>
      <c r="C467" s="3">
        <f>IFERROR(__xludf.DUMMYFUNCTION("""COMPUTED_VALUE"""),202.9)</f>
        <v>202.9</v>
      </c>
      <c r="D467" s="3">
        <f>IFERROR(__xludf.DUMMYFUNCTION("""COMPUTED_VALUE"""),192.67)</f>
        <v>192.67</v>
      </c>
      <c r="E467" s="3">
        <f>IFERROR(__xludf.DUMMYFUNCTION("""COMPUTED_VALUE"""),200.64)</f>
        <v>200.64</v>
      </c>
      <c r="F467" s="3">
        <f>IFERROR(__xludf.DUMMYFUNCTION("""COMPUTED_VALUE"""),7.3783942E7)</f>
        <v>73783942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>
        <f>IFERROR(__xludf.DUMMYFUNCTION("""COMPUTED_VALUE"""),45511.66666666667)</f>
        <v>45511.66667</v>
      </c>
      <c r="B468" s="3">
        <f>IFERROR(__xludf.DUMMYFUNCTION("""COMPUTED_VALUE"""),200.77)</f>
        <v>200.77</v>
      </c>
      <c r="C468" s="3">
        <f>IFERROR(__xludf.DUMMYFUNCTION("""COMPUTED_VALUE"""),203.49)</f>
        <v>203.49</v>
      </c>
      <c r="D468" s="3">
        <f>IFERROR(__xludf.DUMMYFUNCTION("""COMPUTED_VALUE"""),191.48)</f>
        <v>191.48</v>
      </c>
      <c r="E468" s="3">
        <f>IFERROR(__xludf.DUMMYFUNCTION("""COMPUTED_VALUE"""),191.76)</f>
        <v>191.76</v>
      </c>
      <c r="F468" s="3">
        <f>IFERROR(__xludf.DUMMYFUNCTION("""COMPUTED_VALUE"""),7.1159778E7)</f>
        <v>71159778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>
        <f>IFERROR(__xludf.DUMMYFUNCTION("""COMPUTED_VALUE"""),45512.66666666667)</f>
        <v>45512.66667</v>
      </c>
      <c r="B469" s="3">
        <f>IFERROR(__xludf.DUMMYFUNCTION("""COMPUTED_VALUE"""),195.7)</f>
        <v>195.7</v>
      </c>
      <c r="C469" s="3">
        <f>IFERROR(__xludf.DUMMYFUNCTION("""COMPUTED_VALUE"""),200.7)</f>
        <v>200.7</v>
      </c>
      <c r="D469" s="3">
        <f>IFERROR(__xludf.DUMMYFUNCTION("""COMPUTED_VALUE"""),192.04)</f>
        <v>192.04</v>
      </c>
      <c r="E469" s="3">
        <f>IFERROR(__xludf.DUMMYFUNCTION("""COMPUTED_VALUE"""),198.84)</f>
        <v>198.84</v>
      </c>
      <c r="F469" s="3">
        <f>IFERROR(__xludf.DUMMYFUNCTION("""COMPUTED_VALUE"""),6.5033874E7)</f>
        <v>65033874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">
        <f>IFERROR(__xludf.DUMMYFUNCTION("""COMPUTED_VALUE"""),45513.66666666667)</f>
        <v>45513.66667</v>
      </c>
      <c r="B470" s="3">
        <f>IFERROR(__xludf.DUMMYFUNCTION("""COMPUTED_VALUE"""),197.05)</f>
        <v>197.05</v>
      </c>
      <c r="C470" s="3">
        <f>IFERROR(__xludf.DUMMYFUNCTION("""COMPUTED_VALUE"""),200.88)</f>
        <v>200.88</v>
      </c>
      <c r="D470" s="3">
        <f>IFERROR(__xludf.DUMMYFUNCTION("""COMPUTED_VALUE"""),195.11)</f>
        <v>195.11</v>
      </c>
      <c r="E470" s="3">
        <f>IFERROR(__xludf.DUMMYFUNCTION("""COMPUTED_VALUE"""),200.0)</f>
        <v>200</v>
      </c>
      <c r="F470" s="3">
        <f>IFERROR(__xludf.DUMMYFUNCTION("""COMPUTED_VALUE"""),5.8648274E7)</f>
        <v>58648274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">
        <f>IFERROR(__xludf.DUMMYFUNCTION("""COMPUTED_VALUE"""),45516.66666666667)</f>
        <v>45516.66667</v>
      </c>
      <c r="B471" s="3">
        <f>IFERROR(__xludf.DUMMYFUNCTION("""COMPUTED_VALUE"""),199.02)</f>
        <v>199.02</v>
      </c>
      <c r="C471" s="3">
        <f>IFERROR(__xludf.DUMMYFUNCTION("""COMPUTED_VALUE"""),199.26)</f>
        <v>199.26</v>
      </c>
      <c r="D471" s="3">
        <f>IFERROR(__xludf.DUMMYFUNCTION("""COMPUTED_VALUE"""),194.67)</f>
        <v>194.67</v>
      </c>
      <c r="E471" s="3">
        <f>IFERROR(__xludf.DUMMYFUNCTION("""COMPUTED_VALUE"""),197.49)</f>
        <v>197.49</v>
      </c>
      <c r="F471" s="3">
        <f>IFERROR(__xludf.DUMMYFUNCTION("""COMPUTED_VALUE"""),6.4044903E7)</f>
        <v>64044903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">
        <f>IFERROR(__xludf.DUMMYFUNCTION("""COMPUTED_VALUE"""),45517.66666666667)</f>
        <v>45517.66667</v>
      </c>
      <c r="B472" s="3">
        <f>IFERROR(__xludf.DUMMYFUNCTION("""COMPUTED_VALUE"""),198.47)</f>
        <v>198.47</v>
      </c>
      <c r="C472" s="3">
        <f>IFERROR(__xludf.DUMMYFUNCTION("""COMPUTED_VALUE"""),208.49)</f>
        <v>208.49</v>
      </c>
      <c r="D472" s="3">
        <f>IFERROR(__xludf.DUMMYFUNCTION("""COMPUTED_VALUE"""),197.06)</f>
        <v>197.06</v>
      </c>
      <c r="E472" s="3">
        <f>IFERROR(__xludf.DUMMYFUNCTION("""COMPUTED_VALUE"""),207.83)</f>
        <v>207.83</v>
      </c>
      <c r="F472" s="3">
        <f>IFERROR(__xludf.DUMMYFUNCTION("""COMPUTED_VALUE"""),7.6247387E7)</f>
        <v>76247387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">
        <f>IFERROR(__xludf.DUMMYFUNCTION("""COMPUTED_VALUE"""),45518.66666666667)</f>
        <v>45518.66667</v>
      </c>
      <c r="B473" s="3">
        <f>IFERROR(__xludf.DUMMYFUNCTION("""COMPUTED_VALUE"""),207.39)</f>
        <v>207.39</v>
      </c>
      <c r="C473" s="3">
        <f>IFERROR(__xludf.DUMMYFUNCTION("""COMPUTED_VALUE"""),208.44)</f>
        <v>208.44</v>
      </c>
      <c r="D473" s="3">
        <f>IFERROR(__xludf.DUMMYFUNCTION("""COMPUTED_VALUE"""),198.75)</f>
        <v>198.75</v>
      </c>
      <c r="E473" s="3">
        <f>IFERROR(__xludf.DUMMYFUNCTION("""COMPUTED_VALUE"""),201.38)</f>
        <v>201.38</v>
      </c>
      <c r="F473" s="3">
        <f>IFERROR(__xludf.DUMMYFUNCTION("""COMPUTED_VALUE"""),7.0250014E7)</f>
        <v>70250014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">
        <f>IFERROR(__xludf.DUMMYFUNCTION("""COMPUTED_VALUE"""),45519.66666666667)</f>
        <v>45519.66667</v>
      </c>
      <c r="B474" s="3">
        <f>IFERROR(__xludf.DUMMYFUNCTION("""COMPUTED_VALUE"""),205.02)</f>
        <v>205.02</v>
      </c>
      <c r="C474" s="3">
        <f>IFERROR(__xludf.DUMMYFUNCTION("""COMPUTED_VALUE"""),215.88)</f>
        <v>215.88</v>
      </c>
      <c r="D474" s="3">
        <f>IFERROR(__xludf.DUMMYFUNCTION("""COMPUTED_VALUE"""),204.82)</f>
        <v>204.82</v>
      </c>
      <c r="E474" s="3">
        <f>IFERROR(__xludf.DUMMYFUNCTION("""COMPUTED_VALUE"""),214.14)</f>
        <v>214.14</v>
      </c>
      <c r="F474" s="3">
        <f>IFERROR(__xludf.DUMMYFUNCTION("""COMPUTED_VALUE"""),8.984853E7)</f>
        <v>89848530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">
        <f>IFERROR(__xludf.DUMMYFUNCTION("""COMPUTED_VALUE"""),45520.66666666667)</f>
        <v>45520.66667</v>
      </c>
      <c r="B475" s="3">
        <f>IFERROR(__xludf.DUMMYFUNCTION("""COMPUTED_VALUE"""),211.15)</f>
        <v>211.15</v>
      </c>
      <c r="C475" s="3">
        <f>IFERROR(__xludf.DUMMYFUNCTION("""COMPUTED_VALUE"""),219.8)</f>
        <v>219.8</v>
      </c>
      <c r="D475" s="3">
        <f>IFERROR(__xludf.DUMMYFUNCTION("""COMPUTED_VALUE"""),210.8)</f>
        <v>210.8</v>
      </c>
      <c r="E475" s="3">
        <f>IFERROR(__xludf.DUMMYFUNCTION("""COMPUTED_VALUE"""),216.12)</f>
        <v>216.12</v>
      </c>
      <c r="F475" s="3">
        <f>IFERROR(__xludf.DUMMYFUNCTION("""COMPUTED_VALUE"""),8.8765122E7)</f>
        <v>88765122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">
        <f>IFERROR(__xludf.DUMMYFUNCTION("""COMPUTED_VALUE"""),45523.66666666667)</f>
        <v>45523.66667</v>
      </c>
      <c r="B476" s="3">
        <f>IFERROR(__xludf.DUMMYFUNCTION("""COMPUTED_VALUE"""),217.07)</f>
        <v>217.07</v>
      </c>
      <c r="C476" s="3">
        <f>IFERROR(__xludf.DUMMYFUNCTION("""COMPUTED_VALUE"""),222.98)</f>
        <v>222.98</v>
      </c>
      <c r="D476" s="3">
        <f>IFERROR(__xludf.DUMMYFUNCTION("""COMPUTED_VALUE"""),214.09)</f>
        <v>214.09</v>
      </c>
      <c r="E476" s="3">
        <f>IFERROR(__xludf.DUMMYFUNCTION("""COMPUTED_VALUE"""),222.72)</f>
        <v>222.72</v>
      </c>
      <c r="F476" s="3">
        <f>IFERROR(__xludf.DUMMYFUNCTION("""COMPUTED_VALUE"""),7.6435222E7)</f>
        <v>76435222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">
        <f>IFERROR(__xludf.DUMMYFUNCTION("""COMPUTED_VALUE"""),45524.66666666667)</f>
        <v>45524.66667</v>
      </c>
      <c r="B477" s="3">
        <f>IFERROR(__xludf.DUMMYFUNCTION("""COMPUTED_VALUE"""),224.88)</f>
        <v>224.88</v>
      </c>
      <c r="C477" s="3">
        <f>IFERROR(__xludf.DUMMYFUNCTION("""COMPUTED_VALUE"""),228.22)</f>
        <v>228.22</v>
      </c>
      <c r="D477" s="3">
        <f>IFERROR(__xludf.DUMMYFUNCTION("""COMPUTED_VALUE"""),219.56)</f>
        <v>219.56</v>
      </c>
      <c r="E477" s="3">
        <f>IFERROR(__xludf.DUMMYFUNCTION("""COMPUTED_VALUE"""),221.1)</f>
        <v>221.1</v>
      </c>
      <c r="F477" s="3">
        <f>IFERROR(__xludf.DUMMYFUNCTION("""COMPUTED_VALUE"""),7.4001182E7)</f>
        <v>74001182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">
        <f>IFERROR(__xludf.DUMMYFUNCTION("""COMPUTED_VALUE"""),45525.66666666667)</f>
        <v>45525.66667</v>
      </c>
      <c r="B478" s="3">
        <f>IFERROR(__xludf.DUMMYFUNCTION("""COMPUTED_VALUE"""),222.67)</f>
        <v>222.67</v>
      </c>
      <c r="C478" s="3">
        <f>IFERROR(__xludf.DUMMYFUNCTION("""COMPUTED_VALUE"""),224.66)</f>
        <v>224.66</v>
      </c>
      <c r="D478" s="3">
        <f>IFERROR(__xludf.DUMMYFUNCTION("""COMPUTED_VALUE"""),218.86)</f>
        <v>218.86</v>
      </c>
      <c r="E478" s="3">
        <f>IFERROR(__xludf.DUMMYFUNCTION("""COMPUTED_VALUE"""),223.27)</f>
        <v>223.27</v>
      </c>
      <c r="F478" s="3">
        <f>IFERROR(__xludf.DUMMYFUNCTION("""COMPUTED_VALUE"""),7.0145964E7)</f>
        <v>70145964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">
        <f>IFERROR(__xludf.DUMMYFUNCTION("""COMPUTED_VALUE"""),45526.66666666667)</f>
        <v>45526.66667</v>
      </c>
      <c r="B479" s="3">
        <f>IFERROR(__xludf.DUMMYFUNCTION("""COMPUTED_VALUE"""),223.82)</f>
        <v>223.82</v>
      </c>
      <c r="C479" s="3">
        <f>IFERROR(__xludf.DUMMYFUNCTION("""COMPUTED_VALUE"""),224.8)</f>
        <v>224.8</v>
      </c>
      <c r="D479" s="3">
        <f>IFERROR(__xludf.DUMMYFUNCTION("""COMPUTED_VALUE"""),210.32)</f>
        <v>210.32</v>
      </c>
      <c r="E479" s="3">
        <f>IFERROR(__xludf.DUMMYFUNCTION("""COMPUTED_VALUE"""),210.66)</f>
        <v>210.66</v>
      </c>
      <c r="F479" s="3">
        <f>IFERROR(__xludf.DUMMYFUNCTION("""COMPUTED_VALUE"""),7.9514482E7)</f>
        <v>79514482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">
        <f>IFERROR(__xludf.DUMMYFUNCTION("""COMPUTED_VALUE"""),45527.66666666667)</f>
        <v>45527.66667</v>
      </c>
      <c r="B480" s="3">
        <f>IFERROR(__xludf.DUMMYFUNCTION("""COMPUTED_VALUE"""),214.46)</f>
        <v>214.46</v>
      </c>
      <c r="C480" s="3">
        <f>IFERROR(__xludf.DUMMYFUNCTION("""COMPUTED_VALUE"""),221.48)</f>
        <v>221.48</v>
      </c>
      <c r="D480" s="3">
        <f>IFERROR(__xludf.DUMMYFUNCTION("""COMPUTED_VALUE"""),214.21)</f>
        <v>214.21</v>
      </c>
      <c r="E480" s="3">
        <f>IFERROR(__xludf.DUMMYFUNCTION("""COMPUTED_VALUE"""),220.32)</f>
        <v>220.32</v>
      </c>
      <c r="F480" s="3">
        <f>IFERROR(__xludf.DUMMYFUNCTION("""COMPUTED_VALUE"""),8.1525207E7)</f>
        <v>81525207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">
        <f>IFERROR(__xludf.DUMMYFUNCTION("""COMPUTED_VALUE"""),45530.66666666667)</f>
        <v>45530.66667</v>
      </c>
      <c r="B481" s="3">
        <f>IFERROR(__xludf.DUMMYFUNCTION("""COMPUTED_VALUE"""),218.75)</f>
        <v>218.75</v>
      </c>
      <c r="C481" s="3">
        <f>IFERROR(__xludf.DUMMYFUNCTION("""COMPUTED_VALUE"""),219.09)</f>
        <v>219.09</v>
      </c>
      <c r="D481" s="3">
        <f>IFERROR(__xludf.DUMMYFUNCTION("""COMPUTED_VALUE"""),211.01)</f>
        <v>211.01</v>
      </c>
      <c r="E481" s="3">
        <f>IFERROR(__xludf.DUMMYFUNCTION("""COMPUTED_VALUE"""),213.21)</f>
        <v>213.21</v>
      </c>
      <c r="F481" s="3">
        <f>IFERROR(__xludf.DUMMYFUNCTION("""COMPUTED_VALUE"""),5.9301187E7)</f>
        <v>59301187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">
        <f>IFERROR(__xludf.DUMMYFUNCTION("""COMPUTED_VALUE"""),45531.66666666667)</f>
        <v>45531.66667</v>
      </c>
      <c r="B482" s="3">
        <f>IFERROR(__xludf.DUMMYFUNCTION("""COMPUTED_VALUE"""),213.25)</f>
        <v>213.25</v>
      </c>
      <c r="C482" s="3">
        <f>IFERROR(__xludf.DUMMYFUNCTION("""COMPUTED_VALUE"""),215.66)</f>
        <v>215.66</v>
      </c>
      <c r="D482" s="3">
        <f>IFERROR(__xludf.DUMMYFUNCTION("""COMPUTED_VALUE"""),206.94)</f>
        <v>206.94</v>
      </c>
      <c r="E482" s="3">
        <f>IFERROR(__xludf.DUMMYFUNCTION("""COMPUTED_VALUE"""),209.21)</f>
        <v>209.21</v>
      </c>
      <c r="F482" s="3">
        <f>IFERROR(__xludf.DUMMYFUNCTION("""COMPUTED_VALUE"""),6.282139E7)</f>
        <v>62821390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">
        <f>IFERROR(__xludf.DUMMYFUNCTION("""COMPUTED_VALUE"""),45532.66666666667)</f>
        <v>45532.66667</v>
      </c>
      <c r="B483" s="3">
        <f>IFERROR(__xludf.DUMMYFUNCTION("""COMPUTED_VALUE"""),209.72)</f>
        <v>209.72</v>
      </c>
      <c r="C483" s="3">
        <f>IFERROR(__xludf.DUMMYFUNCTION("""COMPUTED_VALUE"""),211.84)</f>
        <v>211.84</v>
      </c>
      <c r="D483" s="3">
        <f>IFERROR(__xludf.DUMMYFUNCTION("""COMPUTED_VALUE"""),202.59)</f>
        <v>202.59</v>
      </c>
      <c r="E483" s="3">
        <f>IFERROR(__xludf.DUMMYFUNCTION("""COMPUTED_VALUE"""),205.75)</f>
        <v>205.75</v>
      </c>
      <c r="F483" s="3">
        <f>IFERROR(__xludf.DUMMYFUNCTION("""COMPUTED_VALUE"""),6.411635E7)</f>
        <v>64116350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">
        <f>IFERROR(__xludf.DUMMYFUNCTION("""COMPUTED_VALUE"""),45533.66666666667)</f>
        <v>45533.66667</v>
      </c>
      <c r="B484" s="3">
        <f>IFERROR(__xludf.DUMMYFUNCTION("""COMPUTED_VALUE"""),209.8)</f>
        <v>209.8</v>
      </c>
      <c r="C484" s="3">
        <f>IFERROR(__xludf.DUMMYFUNCTION("""COMPUTED_VALUE"""),214.89)</f>
        <v>214.89</v>
      </c>
      <c r="D484" s="3">
        <f>IFERROR(__xludf.DUMMYFUNCTION("""COMPUTED_VALUE"""),205.97)</f>
        <v>205.97</v>
      </c>
      <c r="E484" s="3">
        <f>IFERROR(__xludf.DUMMYFUNCTION("""COMPUTED_VALUE"""),206.28)</f>
        <v>206.28</v>
      </c>
      <c r="F484" s="3">
        <f>IFERROR(__xludf.DUMMYFUNCTION("""COMPUTED_VALUE"""),6.2308818E7)</f>
        <v>62308818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">
        <f>IFERROR(__xludf.DUMMYFUNCTION("""COMPUTED_VALUE"""),45534.66666666667)</f>
        <v>45534.66667</v>
      </c>
      <c r="B485" s="3">
        <f>IFERROR(__xludf.DUMMYFUNCTION("""COMPUTED_VALUE"""),208.63)</f>
        <v>208.63</v>
      </c>
      <c r="C485" s="3">
        <f>IFERROR(__xludf.DUMMYFUNCTION("""COMPUTED_VALUE"""),214.57)</f>
        <v>214.57</v>
      </c>
      <c r="D485" s="3">
        <f>IFERROR(__xludf.DUMMYFUNCTION("""COMPUTED_VALUE"""),207.03)</f>
        <v>207.03</v>
      </c>
      <c r="E485" s="3">
        <f>IFERROR(__xludf.DUMMYFUNCTION("""COMPUTED_VALUE"""),214.11)</f>
        <v>214.11</v>
      </c>
      <c r="F485" s="3">
        <f>IFERROR(__xludf.DUMMYFUNCTION("""COMPUTED_VALUE"""),6.3370608E7)</f>
        <v>63370608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">
        <f>IFERROR(__xludf.DUMMYFUNCTION("""COMPUTED_VALUE"""),45538.66666666667)</f>
        <v>45538.66667</v>
      </c>
      <c r="B486" s="3">
        <f>IFERROR(__xludf.DUMMYFUNCTION("""COMPUTED_VALUE"""),215.26)</f>
        <v>215.26</v>
      </c>
      <c r="C486" s="3">
        <f>IFERROR(__xludf.DUMMYFUNCTION("""COMPUTED_VALUE"""),219.9)</f>
        <v>219.9</v>
      </c>
      <c r="D486" s="3">
        <f>IFERROR(__xludf.DUMMYFUNCTION("""COMPUTED_VALUE"""),209.64)</f>
        <v>209.64</v>
      </c>
      <c r="E486" s="3">
        <f>IFERROR(__xludf.DUMMYFUNCTION("""COMPUTED_VALUE"""),210.6)</f>
        <v>210.6</v>
      </c>
      <c r="F486" s="3">
        <f>IFERROR(__xludf.DUMMYFUNCTION("""COMPUTED_VALUE"""),7.6714222E7)</f>
        <v>76714222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">
        <f>IFERROR(__xludf.DUMMYFUNCTION("""COMPUTED_VALUE"""),45539.66666666667)</f>
        <v>45539.66667</v>
      </c>
      <c r="B487" s="3">
        <f>IFERROR(__xludf.DUMMYFUNCTION("""COMPUTED_VALUE"""),210.59)</f>
        <v>210.59</v>
      </c>
      <c r="C487" s="3">
        <f>IFERROR(__xludf.DUMMYFUNCTION("""COMPUTED_VALUE"""),222.22)</f>
        <v>222.22</v>
      </c>
      <c r="D487" s="3">
        <f>IFERROR(__xludf.DUMMYFUNCTION("""COMPUTED_VALUE"""),210.57)</f>
        <v>210.57</v>
      </c>
      <c r="E487" s="3">
        <f>IFERROR(__xludf.DUMMYFUNCTION("""COMPUTED_VALUE"""),219.41)</f>
        <v>219.41</v>
      </c>
      <c r="F487" s="3">
        <f>IFERROR(__xludf.DUMMYFUNCTION("""COMPUTED_VALUE"""),8.0651767E7)</f>
        <v>80651767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">
        <f>IFERROR(__xludf.DUMMYFUNCTION("""COMPUTED_VALUE"""),45540.66666666667)</f>
        <v>45540.66667</v>
      </c>
      <c r="B488" s="3">
        <f>IFERROR(__xludf.DUMMYFUNCTION("""COMPUTED_VALUE"""),223.49)</f>
        <v>223.49</v>
      </c>
      <c r="C488" s="3">
        <f>IFERROR(__xludf.DUMMYFUNCTION("""COMPUTED_VALUE"""),235.0)</f>
        <v>235</v>
      </c>
      <c r="D488" s="3">
        <f>IFERROR(__xludf.DUMMYFUNCTION("""COMPUTED_VALUE"""),222.25)</f>
        <v>222.25</v>
      </c>
      <c r="E488" s="3">
        <f>IFERROR(__xludf.DUMMYFUNCTION("""COMPUTED_VALUE"""),230.17)</f>
        <v>230.17</v>
      </c>
      <c r="F488" s="3">
        <f>IFERROR(__xludf.DUMMYFUNCTION("""COMPUTED_VALUE"""),1.19355013E8)</f>
        <v>119355013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">
        <f>IFERROR(__xludf.DUMMYFUNCTION("""COMPUTED_VALUE"""),45541.66666666667)</f>
        <v>45541.66667</v>
      </c>
      <c r="B489" s="3">
        <f>IFERROR(__xludf.DUMMYFUNCTION("""COMPUTED_VALUE"""),232.6)</f>
        <v>232.6</v>
      </c>
      <c r="C489" s="3">
        <f>IFERROR(__xludf.DUMMYFUNCTION("""COMPUTED_VALUE"""),233.6)</f>
        <v>233.6</v>
      </c>
      <c r="D489" s="3">
        <f>IFERROR(__xludf.DUMMYFUNCTION("""COMPUTED_VALUE"""),210.51)</f>
        <v>210.51</v>
      </c>
      <c r="E489" s="3">
        <f>IFERROR(__xludf.DUMMYFUNCTION("""COMPUTED_VALUE"""),210.73)</f>
        <v>210.73</v>
      </c>
      <c r="F489" s="3">
        <f>IFERROR(__xludf.DUMMYFUNCTION("""COMPUTED_VALUE"""),1.12177004E8)</f>
        <v>112177004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">
        <f>IFERROR(__xludf.DUMMYFUNCTION("""COMPUTED_VALUE"""),45544.66666666667)</f>
        <v>45544.66667</v>
      </c>
      <c r="B490" s="3">
        <f>IFERROR(__xludf.DUMMYFUNCTION("""COMPUTED_VALUE"""),216.2)</f>
        <v>216.2</v>
      </c>
      <c r="C490" s="3">
        <f>IFERROR(__xludf.DUMMYFUNCTION("""COMPUTED_VALUE"""),219.87)</f>
        <v>219.87</v>
      </c>
      <c r="D490" s="3">
        <f>IFERROR(__xludf.DUMMYFUNCTION("""COMPUTED_VALUE"""),213.67)</f>
        <v>213.67</v>
      </c>
      <c r="E490" s="3">
        <f>IFERROR(__xludf.DUMMYFUNCTION("""COMPUTED_VALUE"""),216.27)</f>
        <v>216.27</v>
      </c>
      <c r="F490" s="3">
        <f>IFERROR(__xludf.DUMMYFUNCTION("""COMPUTED_VALUE"""),6.7443518E7)</f>
        <v>67443518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">
        <f>IFERROR(__xludf.DUMMYFUNCTION("""COMPUTED_VALUE"""),45545.66666666667)</f>
        <v>45545.66667</v>
      </c>
      <c r="B491" s="3">
        <f>IFERROR(__xludf.DUMMYFUNCTION("""COMPUTED_VALUE"""),220.07)</f>
        <v>220.07</v>
      </c>
      <c r="C491" s="3">
        <f>IFERROR(__xludf.DUMMYFUNCTION("""COMPUTED_VALUE"""),226.4)</f>
        <v>226.4</v>
      </c>
      <c r="D491" s="3">
        <f>IFERROR(__xludf.DUMMYFUNCTION("""COMPUTED_VALUE"""),218.64)</f>
        <v>218.64</v>
      </c>
      <c r="E491" s="3">
        <f>IFERROR(__xludf.DUMMYFUNCTION("""COMPUTED_VALUE"""),226.17)</f>
        <v>226.17</v>
      </c>
      <c r="F491" s="3">
        <f>IFERROR(__xludf.DUMMYFUNCTION("""COMPUTED_VALUE"""),7.8891136E7)</f>
        <v>78891136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">
        <f>IFERROR(__xludf.DUMMYFUNCTION("""COMPUTED_VALUE"""),45546.66666666667)</f>
        <v>45546.66667</v>
      </c>
      <c r="B492" s="3">
        <f>IFERROR(__xludf.DUMMYFUNCTION("""COMPUTED_VALUE"""),224.55)</f>
        <v>224.55</v>
      </c>
      <c r="C492" s="3">
        <f>IFERROR(__xludf.DUMMYFUNCTION("""COMPUTED_VALUE"""),228.47)</f>
        <v>228.47</v>
      </c>
      <c r="D492" s="3">
        <f>IFERROR(__xludf.DUMMYFUNCTION("""COMPUTED_VALUE"""),216.8)</f>
        <v>216.8</v>
      </c>
      <c r="E492" s="3">
        <f>IFERROR(__xludf.DUMMYFUNCTION("""COMPUTED_VALUE"""),228.13)</f>
        <v>228.13</v>
      </c>
      <c r="F492" s="3">
        <f>IFERROR(__xludf.DUMMYFUNCTION("""COMPUTED_VALUE"""),8.3548633E7)</f>
        <v>83548633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>
        <f>IFERROR(__xludf.DUMMYFUNCTION("""COMPUTED_VALUE"""),45547.66666666667)</f>
        <v>45547.66667</v>
      </c>
      <c r="B493" s="3">
        <f>IFERROR(__xludf.DUMMYFUNCTION("""COMPUTED_VALUE"""),224.66)</f>
        <v>224.66</v>
      </c>
      <c r="C493" s="3">
        <f>IFERROR(__xludf.DUMMYFUNCTION("""COMPUTED_VALUE"""),231.45)</f>
        <v>231.45</v>
      </c>
      <c r="D493" s="3">
        <f>IFERROR(__xludf.DUMMYFUNCTION("""COMPUTED_VALUE"""),223.83)</f>
        <v>223.83</v>
      </c>
      <c r="E493" s="3">
        <f>IFERROR(__xludf.DUMMYFUNCTION("""COMPUTED_VALUE"""),229.81)</f>
        <v>229.81</v>
      </c>
      <c r="F493" s="3">
        <f>IFERROR(__xludf.DUMMYFUNCTION("""COMPUTED_VALUE"""),7.2020042E7)</f>
        <v>72020042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">
        <f>IFERROR(__xludf.DUMMYFUNCTION("""COMPUTED_VALUE"""),45548.66666666667)</f>
        <v>45548.66667</v>
      </c>
      <c r="B494" s="3">
        <f>IFERROR(__xludf.DUMMYFUNCTION("""COMPUTED_VALUE"""),228.0)</f>
        <v>228</v>
      </c>
      <c r="C494" s="3">
        <f>IFERROR(__xludf.DUMMYFUNCTION("""COMPUTED_VALUE"""),232.67)</f>
        <v>232.67</v>
      </c>
      <c r="D494" s="3">
        <f>IFERROR(__xludf.DUMMYFUNCTION("""COMPUTED_VALUE"""),226.32)</f>
        <v>226.32</v>
      </c>
      <c r="E494" s="3">
        <f>IFERROR(__xludf.DUMMYFUNCTION("""COMPUTED_VALUE"""),230.29)</f>
        <v>230.29</v>
      </c>
      <c r="F494" s="3">
        <f>IFERROR(__xludf.DUMMYFUNCTION("""COMPUTED_VALUE"""),5.9515114E7)</f>
        <v>59515114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">
        <f>IFERROR(__xludf.DUMMYFUNCTION("""COMPUTED_VALUE"""),45551.66666666667)</f>
        <v>45551.66667</v>
      </c>
      <c r="B495" s="3">
        <f>IFERROR(__xludf.DUMMYFUNCTION("""COMPUTED_VALUE"""),229.3)</f>
        <v>229.3</v>
      </c>
      <c r="C495" s="3">
        <f>IFERROR(__xludf.DUMMYFUNCTION("""COMPUTED_VALUE"""),229.96)</f>
        <v>229.96</v>
      </c>
      <c r="D495" s="3">
        <f>IFERROR(__xludf.DUMMYFUNCTION("""COMPUTED_VALUE"""),223.53)</f>
        <v>223.53</v>
      </c>
      <c r="E495" s="3">
        <f>IFERROR(__xludf.DUMMYFUNCTION("""COMPUTED_VALUE"""),226.78)</f>
        <v>226.78</v>
      </c>
      <c r="F495" s="3">
        <f>IFERROR(__xludf.DUMMYFUNCTION("""COMPUTED_VALUE"""),5.4322995E7)</f>
        <v>54322995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">
        <f>IFERROR(__xludf.DUMMYFUNCTION("""COMPUTED_VALUE"""),45552.66666666667)</f>
        <v>45552.66667</v>
      </c>
      <c r="B496" s="3">
        <f>IFERROR(__xludf.DUMMYFUNCTION("""COMPUTED_VALUE"""),229.45)</f>
        <v>229.45</v>
      </c>
      <c r="C496" s="3">
        <f>IFERROR(__xludf.DUMMYFUNCTION("""COMPUTED_VALUE"""),234.57)</f>
        <v>234.57</v>
      </c>
      <c r="D496" s="3">
        <f>IFERROR(__xludf.DUMMYFUNCTION("""COMPUTED_VALUE"""),226.55)</f>
        <v>226.55</v>
      </c>
      <c r="E496" s="3">
        <f>IFERROR(__xludf.DUMMYFUNCTION("""COMPUTED_VALUE"""),227.87)</f>
        <v>227.87</v>
      </c>
      <c r="F496" s="3">
        <f>IFERROR(__xludf.DUMMYFUNCTION("""COMPUTED_VALUE"""),6.6761636E7)</f>
        <v>66761636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">
        <f>IFERROR(__xludf.DUMMYFUNCTION("""COMPUTED_VALUE"""),45553.66666666667)</f>
        <v>45553.66667</v>
      </c>
      <c r="B497" s="3">
        <f>IFERROR(__xludf.DUMMYFUNCTION("""COMPUTED_VALUE"""),230.09)</f>
        <v>230.09</v>
      </c>
      <c r="C497" s="3">
        <f>IFERROR(__xludf.DUMMYFUNCTION("""COMPUTED_VALUE"""),235.68)</f>
        <v>235.68</v>
      </c>
      <c r="D497" s="3">
        <f>IFERROR(__xludf.DUMMYFUNCTION("""COMPUTED_VALUE"""),226.88)</f>
        <v>226.88</v>
      </c>
      <c r="E497" s="3">
        <f>IFERROR(__xludf.DUMMYFUNCTION("""COMPUTED_VALUE"""),227.2)</f>
        <v>227.2</v>
      </c>
      <c r="F497" s="3">
        <f>IFERROR(__xludf.DUMMYFUNCTION("""COMPUTED_VALUE"""),7.8010204E7)</f>
        <v>78010204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">
        <f>IFERROR(__xludf.DUMMYFUNCTION("""COMPUTED_VALUE"""),45554.66666666667)</f>
        <v>45554.66667</v>
      </c>
      <c r="B498" s="3">
        <f>IFERROR(__xludf.DUMMYFUNCTION("""COMPUTED_VALUE"""),234.0)</f>
        <v>234</v>
      </c>
      <c r="C498" s="3">
        <f>IFERROR(__xludf.DUMMYFUNCTION("""COMPUTED_VALUE"""),244.24)</f>
        <v>244.24</v>
      </c>
      <c r="D498" s="3">
        <f>IFERROR(__xludf.DUMMYFUNCTION("""COMPUTED_VALUE"""),232.13)</f>
        <v>232.13</v>
      </c>
      <c r="E498" s="3">
        <f>IFERROR(__xludf.DUMMYFUNCTION("""COMPUTED_VALUE"""),243.92)</f>
        <v>243.92</v>
      </c>
      <c r="F498" s="3">
        <f>IFERROR(__xludf.DUMMYFUNCTION("""COMPUTED_VALUE"""),1.02694576E8)</f>
        <v>102694576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>
        <f>IFERROR(__xludf.DUMMYFUNCTION("""COMPUTED_VALUE"""),45555.66666666667)</f>
        <v>45555.66667</v>
      </c>
      <c r="B499" s="3">
        <f>IFERROR(__xludf.DUMMYFUNCTION("""COMPUTED_VALUE"""),241.52)</f>
        <v>241.52</v>
      </c>
      <c r="C499" s="3">
        <f>IFERROR(__xludf.DUMMYFUNCTION("""COMPUTED_VALUE"""),243.99)</f>
        <v>243.99</v>
      </c>
      <c r="D499" s="3">
        <f>IFERROR(__xludf.DUMMYFUNCTION("""COMPUTED_VALUE"""),235.92)</f>
        <v>235.92</v>
      </c>
      <c r="E499" s="3">
        <f>IFERROR(__xludf.DUMMYFUNCTION("""COMPUTED_VALUE"""),238.25)</f>
        <v>238.25</v>
      </c>
      <c r="F499" s="3">
        <f>IFERROR(__xludf.DUMMYFUNCTION("""COMPUTED_VALUE"""),9.987907E7)</f>
        <v>99879070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>
        <f>IFERROR(__xludf.DUMMYFUNCTION("""COMPUTED_VALUE"""),45558.66666666667)</f>
        <v>45558.66667</v>
      </c>
      <c r="B500" s="3">
        <f>IFERROR(__xludf.DUMMYFUNCTION("""COMPUTED_VALUE"""),242.61)</f>
        <v>242.61</v>
      </c>
      <c r="C500" s="3">
        <f>IFERROR(__xludf.DUMMYFUNCTION("""COMPUTED_VALUE"""),250.0)</f>
        <v>250</v>
      </c>
      <c r="D500" s="3">
        <f>IFERROR(__xludf.DUMMYFUNCTION("""COMPUTED_VALUE"""),241.92)</f>
        <v>241.92</v>
      </c>
      <c r="E500" s="3">
        <f>IFERROR(__xludf.DUMMYFUNCTION("""COMPUTED_VALUE"""),250.0)</f>
        <v>250</v>
      </c>
      <c r="F500" s="3">
        <f>IFERROR(__xludf.DUMMYFUNCTION("""COMPUTED_VALUE"""),8.6927194E7)</f>
        <v>86927194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>
        <f>IFERROR(__xludf.DUMMYFUNCTION("""COMPUTED_VALUE"""),45559.66666666667)</f>
        <v>45559.66667</v>
      </c>
      <c r="B501" s="3">
        <f>IFERROR(__xludf.DUMMYFUNCTION("""COMPUTED_VALUE"""),254.08)</f>
        <v>254.08</v>
      </c>
      <c r="C501" s="3">
        <f>IFERROR(__xludf.DUMMYFUNCTION("""COMPUTED_VALUE"""),257.19)</f>
        <v>257.19</v>
      </c>
      <c r="D501" s="3">
        <f>IFERROR(__xludf.DUMMYFUNCTION("""COMPUTED_VALUE"""),249.05)</f>
        <v>249.05</v>
      </c>
      <c r="E501" s="3">
        <f>IFERROR(__xludf.DUMMYFUNCTION("""COMPUTED_VALUE"""),254.27)</f>
        <v>254.27</v>
      </c>
      <c r="F501" s="3">
        <f>IFERROR(__xludf.DUMMYFUNCTION("""COMPUTED_VALUE"""),8.8490999E7)</f>
        <v>88490999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">
        <f>IFERROR(__xludf.DUMMYFUNCTION("""COMPUTED_VALUE"""),45560.66666666667)</f>
        <v>45560.66667</v>
      </c>
      <c r="B502" s="3">
        <f>IFERROR(__xludf.DUMMYFUNCTION("""COMPUTED_VALUE"""),252.54)</f>
        <v>252.54</v>
      </c>
      <c r="C502" s="3">
        <f>IFERROR(__xludf.DUMMYFUNCTION("""COMPUTED_VALUE"""),257.05)</f>
        <v>257.05</v>
      </c>
      <c r="D502" s="3">
        <f>IFERROR(__xludf.DUMMYFUNCTION("""COMPUTED_VALUE"""),252.28)</f>
        <v>252.28</v>
      </c>
      <c r="E502" s="3">
        <f>IFERROR(__xludf.DUMMYFUNCTION("""COMPUTED_VALUE"""),257.02)</f>
        <v>257.02</v>
      </c>
      <c r="F502" s="3">
        <f>IFERROR(__xludf.DUMMYFUNCTION("""COMPUTED_VALUE"""),6.5034318E7)</f>
        <v>65034318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">
        <f>IFERROR(__xludf.DUMMYFUNCTION("""COMPUTED_VALUE"""),45561.66666666667)</f>
        <v>45561.66667</v>
      </c>
      <c r="B503" s="3">
        <f>IFERROR(__xludf.DUMMYFUNCTION("""COMPUTED_VALUE"""),260.6)</f>
        <v>260.6</v>
      </c>
      <c r="C503" s="3">
        <f>IFERROR(__xludf.DUMMYFUNCTION("""COMPUTED_VALUE"""),261.75)</f>
        <v>261.75</v>
      </c>
      <c r="D503" s="3">
        <f>IFERROR(__xludf.DUMMYFUNCTION("""COMPUTED_VALUE"""),251.53)</f>
        <v>251.53</v>
      </c>
      <c r="E503" s="3">
        <f>IFERROR(__xludf.DUMMYFUNCTION("""COMPUTED_VALUE"""),254.22)</f>
        <v>254.22</v>
      </c>
      <c r="F503" s="3">
        <f>IFERROR(__xludf.DUMMYFUNCTION("""COMPUTED_VALUE"""),6.7142193E7)</f>
        <v>67142193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">
        <f>IFERROR(__xludf.DUMMYFUNCTION("""COMPUTED_VALUE"""),45562.66666666667)</f>
        <v>45562.66667</v>
      </c>
      <c r="B504" s="3">
        <f>IFERROR(__xludf.DUMMYFUNCTION("""COMPUTED_VALUE"""),257.38)</f>
        <v>257.38</v>
      </c>
      <c r="C504" s="3">
        <f>IFERROR(__xludf.DUMMYFUNCTION("""COMPUTED_VALUE"""),260.7)</f>
        <v>260.7</v>
      </c>
      <c r="D504" s="3">
        <f>IFERROR(__xludf.DUMMYFUNCTION("""COMPUTED_VALUE"""),254.12)</f>
        <v>254.12</v>
      </c>
      <c r="E504" s="3">
        <f>IFERROR(__xludf.DUMMYFUNCTION("""COMPUTED_VALUE"""),260.46)</f>
        <v>260.46</v>
      </c>
      <c r="F504" s="3">
        <f>IFERROR(__xludf.DUMMYFUNCTION("""COMPUTED_VALUE"""),7.0988067E7)</f>
        <v>70988067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">
        <f>IFERROR(__xludf.DUMMYFUNCTION("""COMPUTED_VALUE"""),45565.66666666667)</f>
        <v>45565.66667</v>
      </c>
      <c r="B505" s="3">
        <f>IFERROR(__xludf.DUMMYFUNCTION("""COMPUTED_VALUE"""),259.04)</f>
        <v>259.04</v>
      </c>
      <c r="C505" s="3">
        <f>IFERROR(__xludf.DUMMYFUNCTION("""COMPUTED_VALUE"""),264.86)</f>
        <v>264.86</v>
      </c>
      <c r="D505" s="3">
        <f>IFERROR(__xludf.DUMMYFUNCTION("""COMPUTED_VALUE"""),255.77)</f>
        <v>255.77</v>
      </c>
      <c r="E505" s="3">
        <f>IFERROR(__xludf.DUMMYFUNCTION("""COMPUTED_VALUE"""),261.63)</f>
        <v>261.63</v>
      </c>
      <c r="F505" s="3">
        <f>IFERROR(__xludf.DUMMYFUNCTION("""COMPUTED_VALUE"""),8.0873381E7)</f>
        <v>80873381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">
        <f>IFERROR(__xludf.DUMMYFUNCTION("""COMPUTED_VALUE"""),45566.66666666667)</f>
        <v>45566.66667</v>
      </c>
      <c r="B506" s="3">
        <f>IFERROR(__xludf.DUMMYFUNCTION("""COMPUTED_VALUE"""),262.67)</f>
        <v>262.67</v>
      </c>
      <c r="C506" s="3">
        <f>IFERROR(__xludf.DUMMYFUNCTION("""COMPUTED_VALUE"""),263.98)</f>
        <v>263.98</v>
      </c>
      <c r="D506" s="3">
        <f>IFERROR(__xludf.DUMMYFUNCTION("""COMPUTED_VALUE"""),248.53)</f>
        <v>248.53</v>
      </c>
      <c r="E506" s="3">
        <f>IFERROR(__xludf.DUMMYFUNCTION("""COMPUTED_VALUE"""),258.02)</f>
        <v>258.02</v>
      </c>
      <c r="F506" s="3">
        <f>IFERROR(__xludf.DUMMYFUNCTION("""COMPUTED_VALUE"""),8.7397613E7)</f>
        <v>87397613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">
        <f>IFERROR(__xludf.DUMMYFUNCTION("""COMPUTED_VALUE"""),45567.66666666667)</f>
        <v>45567.66667</v>
      </c>
      <c r="B507" s="3">
        <f>IFERROR(__xludf.DUMMYFUNCTION("""COMPUTED_VALUE"""),247.55)</f>
        <v>247.55</v>
      </c>
      <c r="C507" s="3">
        <f>IFERROR(__xludf.DUMMYFUNCTION("""COMPUTED_VALUE"""),251.16)</f>
        <v>251.16</v>
      </c>
      <c r="D507" s="3">
        <f>IFERROR(__xludf.DUMMYFUNCTION("""COMPUTED_VALUE"""),241.5)</f>
        <v>241.5</v>
      </c>
      <c r="E507" s="3">
        <f>IFERROR(__xludf.DUMMYFUNCTION("""COMPUTED_VALUE"""),249.02)</f>
        <v>249.02</v>
      </c>
      <c r="F507" s="3">
        <f>IFERROR(__xludf.DUMMYFUNCTION("""COMPUTED_VALUE"""),9.398393E7)</f>
        <v>93983930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">
        <f>IFERROR(__xludf.DUMMYFUNCTION("""COMPUTED_VALUE"""),45568.66666666667)</f>
        <v>45568.66667</v>
      </c>
      <c r="B508" s="3">
        <f>IFERROR(__xludf.DUMMYFUNCTION("""COMPUTED_VALUE"""),244.48)</f>
        <v>244.48</v>
      </c>
      <c r="C508" s="3">
        <f>IFERROR(__xludf.DUMMYFUNCTION("""COMPUTED_VALUE"""),249.79)</f>
        <v>249.79</v>
      </c>
      <c r="D508" s="3">
        <f>IFERROR(__xludf.DUMMYFUNCTION("""COMPUTED_VALUE"""),237.81)</f>
        <v>237.81</v>
      </c>
      <c r="E508" s="3">
        <f>IFERROR(__xludf.DUMMYFUNCTION("""COMPUTED_VALUE"""),240.66)</f>
        <v>240.66</v>
      </c>
      <c r="F508" s="3">
        <f>IFERROR(__xludf.DUMMYFUNCTION("""COMPUTED_VALUE"""),8.072924E7)</f>
        <v>80729240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">
        <f>IFERROR(__xludf.DUMMYFUNCTION("""COMPUTED_VALUE"""),45569.66666666667)</f>
        <v>45569.66667</v>
      </c>
      <c r="B509" s="3">
        <f>IFERROR(__xludf.DUMMYFUNCTION("""COMPUTED_VALUE"""),246.69)</f>
        <v>246.69</v>
      </c>
      <c r="C509" s="3">
        <f>IFERROR(__xludf.DUMMYFUNCTION("""COMPUTED_VALUE"""),250.96)</f>
        <v>250.96</v>
      </c>
      <c r="D509" s="3">
        <f>IFERROR(__xludf.DUMMYFUNCTION("""COMPUTED_VALUE"""),244.58)</f>
        <v>244.58</v>
      </c>
      <c r="E509" s="3">
        <f>IFERROR(__xludf.DUMMYFUNCTION("""COMPUTED_VALUE"""),250.08)</f>
        <v>250.08</v>
      </c>
      <c r="F509" s="3">
        <f>IFERROR(__xludf.DUMMYFUNCTION("""COMPUTED_VALUE"""),8.6726285E7)</f>
        <v>86726285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">
        <f>IFERROR(__xludf.DUMMYFUNCTION("""COMPUTED_VALUE"""),45572.66666666667)</f>
        <v>45572.66667</v>
      </c>
      <c r="B510" s="3">
        <f>IFERROR(__xludf.DUMMYFUNCTION("""COMPUTED_VALUE"""),249.0)</f>
        <v>249</v>
      </c>
      <c r="C510" s="3">
        <f>IFERROR(__xludf.DUMMYFUNCTION("""COMPUTED_VALUE"""),249.83)</f>
        <v>249.83</v>
      </c>
      <c r="D510" s="3">
        <f>IFERROR(__xludf.DUMMYFUNCTION("""COMPUTED_VALUE"""),240.7)</f>
        <v>240.7</v>
      </c>
      <c r="E510" s="3">
        <f>IFERROR(__xludf.DUMMYFUNCTION("""COMPUTED_VALUE"""),240.83)</f>
        <v>240.83</v>
      </c>
      <c r="F510" s="3">
        <f>IFERROR(__xludf.DUMMYFUNCTION("""COMPUTED_VALUE"""),6.811327E7)</f>
        <v>68113270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">
        <f>IFERROR(__xludf.DUMMYFUNCTION("""COMPUTED_VALUE"""),45573.66666666667)</f>
        <v>45573.66667</v>
      </c>
      <c r="B511" s="3">
        <f>IFERROR(__xludf.DUMMYFUNCTION("""COMPUTED_VALUE"""),243.56)</f>
        <v>243.56</v>
      </c>
      <c r="C511" s="3">
        <f>IFERROR(__xludf.DUMMYFUNCTION("""COMPUTED_VALUE"""),246.21)</f>
        <v>246.21</v>
      </c>
      <c r="D511" s="3">
        <f>IFERROR(__xludf.DUMMYFUNCTION("""COMPUTED_VALUE"""),240.56)</f>
        <v>240.56</v>
      </c>
      <c r="E511" s="3">
        <f>IFERROR(__xludf.DUMMYFUNCTION("""COMPUTED_VALUE"""),244.5)</f>
        <v>244.5</v>
      </c>
      <c r="F511" s="3">
        <f>IFERROR(__xludf.DUMMYFUNCTION("""COMPUTED_VALUE"""),5.630316E7)</f>
        <v>56303160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">
        <f>IFERROR(__xludf.DUMMYFUNCTION("""COMPUTED_VALUE"""),45574.66666666667)</f>
        <v>45574.66667</v>
      </c>
      <c r="B512" s="3">
        <f>IFERROR(__xludf.DUMMYFUNCTION("""COMPUTED_VALUE"""),243.82)</f>
        <v>243.82</v>
      </c>
      <c r="C512" s="3">
        <f>IFERROR(__xludf.DUMMYFUNCTION("""COMPUTED_VALUE"""),247.43)</f>
        <v>247.43</v>
      </c>
      <c r="D512" s="3">
        <f>IFERROR(__xludf.DUMMYFUNCTION("""COMPUTED_VALUE"""),239.51)</f>
        <v>239.51</v>
      </c>
      <c r="E512" s="3">
        <f>IFERROR(__xludf.DUMMYFUNCTION("""COMPUTED_VALUE"""),241.05)</f>
        <v>241.05</v>
      </c>
      <c r="F512" s="3">
        <f>IFERROR(__xludf.DUMMYFUNCTION("""COMPUTED_VALUE"""),6.6289529E7)</f>
        <v>66289529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">
        <f>IFERROR(__xludf.DUMMYFUNCTION("""COMPUTED_VALUE"""),45575.66666666667)</f>
        <v>45575.66667</v>
      </c>
      <c r="B513" s="3">
        <f>IFERROR(__xludf.DUMMYFUNCTION("""COMPUTED_VALUE"""),241.81)</f>
        <v>241.81</v>
      </c>
      <c r="C513" s="3">
        <f>IFERROR(__xludf.DUMMYFUNCTION("""COMPUTED_VALUE"""),242.79)</f>
        <v>242.79</v>
      </c>
      <c r="D513" s="3">
        <f>IFERROR(__xludf.DUMMYFUNCTION("""COMPUTED_VALUE"""),232.34)</f>
        <v>232.34</v>
      </c>
      <c r="E513" s="3">
        <f>IFERROR(__xludf.DUMMYFUNCTION("""COMPUTED_VALUE"""),238.77)</f>
        <v>238.77</v>
      </c>
      <c r="F513" s="3">
        <f>IFERROR(__xludf.DUMMYFUNCTION("""COMPUTED_VALUE"""),8.3087063E7)</f>
        <v>83087063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">
        <f>IFERROR(__xludf.DUMMYFUNCTION("""COMPUTED_VALUE"""),45576.66666666667)</f>
        <v>45576.66667</v>
      </c>
      <c r="B514" s="3">
        <f>IFERROR(__xludf.DUMMYFUNCTION("""COMPUTED_VALUE"""),220.13)</f>
        <v>220.13</v>
      </c>
      <c r="C514" s="3">
        <f>IFERROR(__xludf.DUMMYFUNCTION("""COMPUTED_VALUE"""),223.34)</f>
        <v>223.34</v>
      </c>
      <c r="D514" s="3">
        <f>IFERROR(__xludf.DUMMYFUNCTION("""COMPUTED_VALUE"""),214.38)</f>
        <v>214.38</v>
      </c>
      <c r="E514" s="3">
        <f>IFERROR(__xludf.DUMMYFUNCTION("""COMPUTED_VALUE"""),217.8)</f>
        <v>217.8</v>
      </c>
      <c r="F514" s="3">
        <f>IFERROR(__xludf.DUMMYFUNCTION("""COMPUTED_VALUE"""),1.42628874E8)</f>
        <v>142628874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">
        <f>IFERROR(__xludf.DUMMYFUNCTION("""COMPUTED_VALUE"""),45579.66666666667)</f>
        <v>45579.66667</v>
      </c>
      <c r="B515" s="3">
        <f>IFERROR(__xludf.DUMMYFUNCTION("""COMPUTED_VALUE"""),220.13)</f>
        <v>220.13</v>
      </c>
      <c r="C515" s="3">
        <f>IFERROR(__xludf.DUMMYFUNCTION("""COMPUTED_VALUE"""),221.91)</f>
        <v>221.91</v>
      </c>
      <c r="D515" s="3">
        <f>IFERROR(__xludf.DUMMYFUNCTION("""COMPUTED_VALUE"""),213.74)</f>
        <v>213.74</v>
      </c>
      <c r="E515" s="3">
        <f>IFERROR(__xludf.DUMMYFUNCTION("""COMPUTED_VALUE"""),219.16)</f>
        <v>219.16</v>
      </c>
      <c r="F515" s="3">
        <f>IFERROR(__xludf.DUMMYFUNCTION("""COMPUTED_VALUE"""),8.6291923E7)</f>
        <v>86291923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">
        <f>IFERROR(__xludf.DUMMYFUNCTION("""COMPUTED_VALUE"""),45580.66666666667)</f>
        <v>45580.66667</v>
      </c>
      <c r="B516" s="3">
        <f>IFERROR(__xludf.DUMMYFUNCTION("""COMPUTED_VALUE"""),220.13)</f>
        <v>220.13</v>
      </c>
      <c r="C516" s="3">
        <f>IFERROR(__xludf.DUMMYFUNCTION("""COMPUTED_VALUE"""),221.91)</f>
        <v>221.91</v>
      </c>
      <c r="D516" s="3">
        <f>IFERROR(__xludf.DUMMYFUNCTION("""COMPUTED_VALUE"""),213.74)</f>
        <v>213.74</v>
      </c>
      <c r="E516" s="3">
        <f>IFERROR(__xludf.DUMMYFUNCTION("""COMPUTED_VALUE"""),219.16)</f>
        <v>219.16</v>
      </c>
      <c r="F516" s="3">
        <f>IFERROR(__xludf.DUMMYFUNCTION("""COMPUTED_VALUE"""),1875459.0)</f>
        <v>1875459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">
        <f>IFERROR(__xludf.DUMMYFUNCTION("""COMPUTED_VALUE"""),45581.66666666667)</f>
        <v>45581.66667</v>
      </c>
      <c r="B517" s="3">
        <f>IFERROR(__xludf.DUMMYFUNCTION("""COMPUTED_VALUE"""),221.4)</f>
        <v>221.4</v>
      </c>
      <c r="C517" s="3">
        <f>IFERROR(__xludf.DUMMYFUNCTION("""COMPUTED_VALUE"""),222.82)</f>
        <v>222.82</v>
      </c>
      <c r="D517" s="3">
        <f>IFERROR(__xludf.DUMMYFUNCTION("""COMPUTED_VALUE"""),218.93)</f>
        <v>218.93</v>
      </c>
      <c r="E517" s="3">
        <f>IFERROR(__xludf.DUMMYFUNCTION("""COMPUTED_VALUE"""),221.33)</f>
        <v>221.33</v>
      </c>
      <c r="F517" s="3">
        <f>IFERROR(__xludf.DUMMYFUNCTION("""COMPUTED_VALUE"""),4.9632824E7)</f>
        <v>49632824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">
        <f>IFERROR(__xludf.DUMMYFUNCTION("""COMPUTED_VALUE"""),45582.66666666667)</f>
        <v>45582.66667</v>
      </c>
      <c r="B518" s="3">
        <f>IFERROR(__xludf.DUMMYFUNCTION("""COMPUTED_VALUE"""),221.59)</f>
        <v>221.59</v>
      </c>
      <c r="C518" s="3">
        <f>IFERROR(__xludf.DUMMYFUNCTION("""COMPUTED_VALUE"""),222.08)</f>
        <v>222.08</v>
      </c>
      <c r="D518" s="3">
        <f>IFERROR(__xludf.DUMMYFUNCTION("""COMPUTED_VALUE"""),217.9)</f>
        <v>217.9</v>
      </c>
      <c r="E518" s="3">
        <f>IFERROR(__xludf.DUMMYFUNCTION("""COMPUTED_VALUE"""),220.89)</f>
        <v>220.89</v>
      </c>
      <c r="F518" s="3">
        <f>IFERROR(__xludf.DUMMYFUNCTION("""COMPUTED_VALUE"""),5.0791784E7)</f>
        <v>50791784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">
        <f>IFERROR(__xludf.DUMMYFUNCTION("""COMPUTED_VALUE"""),45583.66666666667)</f>
        <v>45583.66667</v>
      </c>
      <c r="B519" s="3">
        <f>IFERROR(__xludf.DUMMYFUNCTION("""COMPUTED_VALUE"""),220.71)</f>
        <v>220.71</v>
      </c>
      <c r="C519" s="3">
        <f>IFERROR(__xludf.DUMMYFUNCTION("""COMPUTED_VALUE"""),222.28)</f>
        <v>222.28</v>
      </c>
      <c r="D519" s="3">
        <f>IFERROR(__xludf.DUMMYFUNCTION("""COMPUTED_VALUE"""),219.23)</f>
        <v>219.23</v>
      </c>
      <c r="E519" s="3">
        <f>IFERROR(__xludf.DUMMYFUNCTION("""COMPUTED_VALUE"""),220.7)</f>
        <v>220.7</v>
      </c>
      <c r="F519" s="3">
        <f>IFERROR(__xludf.DUMMYFUNCTION("""COMPUTED_VALUE"""),4.9611867E7)</f>
        <v>49611867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">
        <f>IFERROR(__xludf.DUMMYFUNCTION("""COMPUTED_VALUE"""),45586.66666666667)</f>
        <v>45586.66667</v>
      </c>
      <c r="B520" s="3">
        <f>IFERROR(__xludf.DUMMYFUNCTION("""COMPUTED_VALUE"""),218.9)</f>
        <v>218.9</v>
      </c>
      <c r="C520" s="3">
        <f>IFERROR(__xludf.DUMMYFUNCTION("""COMPUTED_VALUE"""),220.48)</f>
        <v>220.48</v>
      </c>
      <c r="D520" s="3">
        <f>IFERROR(__xludf.DUMMYFUNCTION("""COMPUTED_VALUE"""),215.73)</f>
        <v>215.73</v>
      </c>
      <c r="E520" s="3">
        <f>IFERROR(__xludf.DUMMYFUNCTION("""COMPUTED_VALUE"""),218.85)</f>
        <v>218.85</v>
      </c>
      <c r="F520" s="3">
        <f>IFERROR(__xludf.DUMMYFUNCTION("""COMPUTED_VALUE"""),4.7328988E7)</f>
        <v>47328988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">
        <f>IFERROR(__xludf.DUMMYFUNCTION("""COMPUTED_VALUE"""),45587.66666666667)</f>
        <v>45587.66667</v>
      </c>
      <c r="B521" s="3">
        <f>IFERROR(__xludf.DUMMYFUNCTION("""COMPUTED_VALUE"""),217.31)</f>
        <v>217.31</v>
      </c>
      <c r="C521" s="3">
        <f>IFERROR(__xludf.DUMMYFUNCTION("""COMPUTED_VALUE"""),218.22)</f>
        <v>218.22</v>
      </c>
      <c r="D521" s="3">
        <f>IFERROR(__xludf.DUMMYFUNCTION("""COMPUTED_VALUE"""),215.26)</f>
        <v>215.26</v>
      </c>
      <c r="E521" s="3">
        <f>IFERROR(__xludf.DUMMYFUNCTION("""COMPUTED_VALUE"""),217.97)</f>
        <v>217.97</v>
      </c>
      <c r="F521" s="3">
        <f>IFERROR(__xludf.DUMMYFUNCTION("""COMPUTED_VALUE"""),4.3268741E7)</f>
        <v>43268741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">
        <f>IFERROR(__xludf.DUMMYFUNCTION("""COMPUTED_VALUE"""),45588.66666666667)</f>
        <v>45588.66667</v>
      </c>
      <c r="B522" s="3">
        <f>IFERROR(__xludf.DUMMYFUNCTION("""COMPUTED_VALUE"""),217.13)</f>
        <v>217.13</v>
      </c>
      <c r="C522" s="3">
        <f>IFERROR(__xludf.DUMMYFUNCTION("""COMPUTED_VALUE"""),218.72)</f>
        <v>218.72</v>
      </c>
      <c r="D522" s="3">
        <f>IFERROR(__xludf.DUMMYFUNCTION("""COMPUTED_VALUE"""),212.11)</f>
        <v>212.11</v>
      </c>
      <c r="E522" s="3">
        <f>IFERROR(__xludf.DUMMYFUNCTION("""COMPUTED_VALUE"""),213.65)</f>
        <v>213.65</v>
      </c>
      <c r="F522" s="3">
        <f>IFERROR(__xludf.DUMMYFUNCTION("""COMPUTED_VALUE"""),8.0938892E7)</f>
        <v>80938892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">
        <f>IFERROR(__xludf.DUMMYFUNCTION("""COMPUTED_VALUE"""),45589.66666666667)</f>
        <v>45589.66667</v>
      </c>
      <c r="B523" s="3">
        <f>IFERROR(__xludf.DUMMYFUNCTION("""COMPUTED_VALUE"""),244.68)</f>
        <v>244.68</v>
      </c>
      <c r="C523" s="3">
        <f>IFERROR(__xludf.DUMMYFUNCTION("""COMPUTED_VALUE"""),262.12)</f>
        <v>262.12</v>
      </c>
      <c r="D523" s="3">
        <f>IFERROR(__xludf.DUMMYFUNCTION("""COMPUTED_VALUE"""),242.65)</f>
        <v>242.65</v>
      </c>
      <c r="E523" s="3">
        <f>IFERROR(__xludf.DUMMYFUNCTION("""COMPUTED_VALUE"""),260.48)</f>
        <v>260.48</v>
      </c>
      <c r="F523" s="3">
        <f>IFERROR(__xludf.DUMMYFUNCTION("""COMPUTED_VALUE"""),2.04491903E8)</f>
        <v>204491903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">
        <f>IFERROR(__xludf.DUMMYFUNCTION("""COMPUTED_VALUE"""),45590.66666666667)</f>
        <v>45590.66667</v>
      </c>
      <c r="B524" s="3">
        <f>IFERROR(__xludf.DUMMYFUNCTION("""COMPUTED_VALUE"""),256.01)</f>
        <v>256.01</v>
      </c>
      <c r="C524" s="3">
        <f>IFERROR(__xludf.DUMMYFUNCTION("""COMPUTED_VALUE"""),269.49)</f>
        <v>269.49</v>
      </c>
      <c r="D524" s="3">
        <f>IFERROR(__xludf.DUMMYFUNCTION("""COMPUTED_VALUE"""),255.32)</f>
        <v>255.32</v>
      </c>
      <c r="E524" s="3">
        <f>IFERROR(__xludf.DUMMYFUNCTION("""COMPUTED_VALUE"""),269.19)</f>
        <v>269.19</v>
      </c>
      <c r="F524" s="3">
        <f>IFERROR(__xludf.DUMMYFUNCTION("""COMPUTED_VALUE"""),1.61611931E8)</f>
        <v>161611931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">
        <f>IFERROR(__xludf.DUMMYFUNCTION("""COMPUTED_VALUE"""),45593.66666666667)</f>
        <v>45593.66667</v>
      </c>
      <c r="B525" s="3">
        <f>IFERROR(__xludf.DUMMYFUNCTION("""COMPUTED_VALUE"""),270.0)</f>
        <v>270</v>
      </c>
      <c r="C525" s="3">
        <f>IFERROR(__xludf.DUMMYFUNCTION("""COMPUTED_VALUE"""),273.54)</f>
        <v>273.54</v>
      </c>
      <c r="D525" s="3">
        <f>IFERROR(__xludf.DUMMYFUNCTION("""COMPUTED_VALUE"""),262.24)</f>
        <v>262.24</v>
      </c>
      <c r="E525" s="3">
        <f>IFERROR(__xludf.DUMMYFUNCTION("""COMPUTED_VALUE"""),262.51)</f>
        <v>262.51</v>
      </c>
      <c r="F525" s="3">
        <f>IFERROR(__xludf.DUMMYFUNCTION("""COMPUTED_VALUE"""),1.07653603E8)</f>
        <v>107653603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">
        <f>IFERROR(__xludf.DUMMYFUNCTION("""COMPUTED_VALUE"""),45595.66666666667)</f>
        <v>45595.66667</v>
      </c>
      <c r="B526" s="3">
        <f>IFERROR(__xludf.DUMMYFUNCTION("""COMPUTED_VALUE"""),258.04)</f>
        <v>258.04</v>
      </c>
      <c r="C526" s="3">
        <f>IFERROR(__xludf.DUMMYFUNCTION("""COMPUTED_VALUE"""),263.35)</f>
        <v>263.35</v>
      </c>
      <c r="D526" s="3">
        <f>IFERROR(__xludf.DUMMYFUNCTION("""COMPUTED_VALUE"""),255.82)</f>
        <v>255.82</v>
      </c>
      <c r="E526" s="3">
        <f>IFERROR(__xludf.DUMMYFUNCTION("""COMPUTED_VALUE"""),257.55)</f>
        <v>257.55</v>
      </c>
      <c r="F526" s="3">
        <f>IFERROR(__xludf.DUMMYFUNCTION("""COMPUTED_VALUE"""),5.3993576E7)</f>
        <v>53993576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">
        <f>IFERROR(__xludf.DUMMYFUNCTION("""COMPUTED_VALUE"""),45596.66666666667)</f>
        <v>45596.66667</v>
      </c>
      <c r="B527" s="3">
        <f>IFERROR(__xludf.DUMMYFUNCTION("""COMPUTED_VALUE"""),257.99)</f>
        <v>257.99</v>
      </c>
      <c r="C527" s="3">
        <f>IFERROR(__xludf.DUMMYFUNCTION("""COMPUTED_VALUE"""),259.75)</f>
        <v>259.75</v>
      </c>
      <c r="D527" s="3">
        <f>IFERROR(__xludf.DUMMYFUNCTION("""COMPUTED_VALUE"""),249.25)</f>
        <v>249.25</v>
      </c>
      <c r="E527" s="3">
        <f>IFERROR(__xludf.DUMMYFUNCTION("""COMPUTED_VALUE"""),249.85)</f>
        <v>249.85</v>
      </c>
      <c r="F527" s="3">
        <f>IFERROR(__xludf.DUMMYFUNCTION("""COMPUTED_VALUE"""),6.6575292E7)</f>
        <v>66575292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">
        <f>IFERROR(__xludf.DUMMYFUNCTION("""COMPUTED_VALUE"""),45597.66666666667)</f>
        <v>45597.66667</v>
      </c>
      <c r="B528" s="3">
        <f>IFERROR(__xludf.DUMMYFUNCTION("""COMPUTED_VALUE"""),252.04)</f>
        <v>252.04</v>
      </c>
      <c r="C528" s="3">
        <f>IFERROR(__xludf.DUMMYFUNCTION("""COMPUTED_VALUE"""),254.0)</f>
        <v>254</v>
      </c>
      <c r="D528" s="3">
        <f>IFERROR(__xludf.DUMMYFUNCTION("""COMPUTED_VALUE"""),246.63)</f>
        <v>246.63</v>
      </c>
      <c r="E528" s="3">
        <f>IFERROR(__xludf.DUMMYFUNCTION("""COMPUTED_VALUE"""),248.98)</f>
        <v>248.98</v>
      </c>
      <c r="F528" s="3">
        <f>IFERROR(__xludf.DUMMYFUNCTION("""COMPUTED_VALUE"""),5.7544757E7)</f>
        <v>57544757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">
        <f>IFERROR(__xludf.DUMMYFUNCTION("""COMPUTED_VALUE"""),45600.66666666667)</f>
        <v>45600.66667</v>
      </c>
      <c r="B529" s="3">
        <f>IFERROR(__xludf.DUMMYFUNCTION("""COMPUTED_VALUE"""),244.56)</f>
        <v>244.56</v>
      </c>
      <c r="C529" s="3">
        <f>IFERROR(__xludf.DUMMYFUNCTION("""COMPUTED_VALUE"""),248.9)</f>
        <v>248.9</v>
      </c>
      <c r="D529" s="3">
        <f>IFERROR(__xludf.DUMMYFUNCTION("""COMPUTED_VALUE"""),238.88)</f>
        <v>238.88</v>
      </c>
      <c r="E529" s="3">
        <f>IFERROR(__xludf.DUMMYFUNCTION("""COMPUTED_VALUE"""),242.84)</f>
        <v>242.84</v>
      </c>
      <c r="F529" s="3">
        <f>IFERROR(__xludf.DUMMYFUNCTION("""COMPUTED_VALUE"""),6.8802354E7)</f>
        <v>68802354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">
        <f>IFERROR(__xludf.DUMMYFUNCTION("""COMPUTED_VALUE"""),45601.66666666667)</f>
        <v>45601.66667</v>
      </c>
      <c r="B530" s="3">
        <f>IFERROR(__xludf.DUMMYFUNCTION("""COMPUTED_VALUE"""),247.34)</f>
        <v>247.34</v>
      </c>
      <c r="C530" s="3">
        <f>IFERROR(__xludf.DUMMYFUNCTION("""COMPUTED_VALUE"""),255.28)</f>
        <v>255.28</v>
      </c>
      <c r="D530" s="3">
        <f>IFERROR(__xludf.DUMMYFUNCTION("""COMPUTED_VALUE"""),246.21)</f>
        <v>246.21</v>
      </c>
      <c r="E530" s="3">
        <f>IFERROR(__xludf.DUMMYFUNCTION("""COMPUTED_VALUE"""),251.44)</f>
        <v>251.44</v>
      </c>
      <c r="F530" s="3">
        <f>IFERROR(__xludf.DUMMYFUNCTION("""COMPUTED_VALUE"""),6.9282505E7)</f>
        <v>69282505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">
        <f>IFERROR(__xludf.DUMMYFUNCTION("""COMPUTED_VALUE"""),45602.66666666667)</f>
        <v>45602.66667</v>
      </c>
      <c r="B531" s="3">
        <f>IFERROR(__xludf.DUMMYFUNCTION("""COMPUTED_VALUE"""),284.67)</f>
        <v>284.67</v>
      </c>
      <c r="C531" s="3">
        <f>IFERROR(__xludf.DUMMYFUNCTION("""COMPUTED_VALUE"""),289.59)</f>
        <v>289.59</v>
      </c>
      <c r="D531" s="3">
        <f>IFERROR(__xludf.DUMMYFUNCTION("""COMPUTED_VALUE"""),275.62)</f>
        <v>275.62</v>
      </c>
      <c r="E531" s="3">
        <f>IFERROR(__xludf.DUMMYFUNCTION("""COMPUTED_VALUE"""),288.53)</f>
        <v>288.53</v>
      </c>
      <c r="F531" s="3">
        <f>IFERROR(__xludf.DUMMYFUNCTION("""COMPUTED_VALUE"""),1.6522871E8)</f>
        <v>165228710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">
        <f>IFERROR(__xludf.DUMMYFUNCTION("""COMPUTED_VALUE"""),45603.66666666667)</f>
        <v>45603.66667</v>
      </c>
      <c r="B532" s="3">
        <f>IFERROR(__xludf.DUMMYFUNCTION("""COMPUTED_VALUE"""),288.89)</f>
        <v>288.89</v>
      </c>
      <c r="C532" s="3">
        <f>IFERROR(__xludf.DUMMYFUNCTION("""COMPUTED_VALUE"""),299.75)</f>
        <v>299.75</v>
      </c>
      <c r="D532" s="3">
        <f>IFERROR(__xludf.DUMMYFUNCTION("""COMPUTED_VALUE"""),285.52)</f>
        <v>285.52</v>
      </c>
      <c r="E532" s="3">
        <f>IFERROR(__xludf.DUMMYFUNCTION("""COMPUTED_VALUE"""),296.91)</f>
        <v>296.91</v>
      </c>
      <c r="F532" s="3">
        <f>IFERROR(__xludf.DUMMYFUNCTION("""COMPUTED_VALUE"""),1.17309232E8)</f>
        <v>117309232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">
        <f>IFERROR(__xludf.DUMMYFUNCTION("""COMPUTED_VALUE"""),45604.66666666667)</f>
        <v>45604.66667</v>
      </c>
      <c r="B533" s="3">
        <f>IFERROR(__xludf.DUMMYFUNCTION("""COMPUTED_VALUE"""),299.14)</f>
        <v>299.14</v>
      </c>
      <c r="C533" s="3">
        <f>IFERROR(__xludf.DUMMYFUNCTION("""COMPUTED_VALUE"""),328.71)</f>
        <v>328.71</v>
      </c>
      <c r="D533" s="3">
        <f>IFERROR(__xludf.DUMMYFUNCTION("""COMPUTED_VALUE"""),297.66)</f>
        <v>297.66</v>
      </c>
      <c r="E533" s="3">
        <f>IFERROR(__xludf.DUMMYFUNCTION("""COMPUTED_VALUE"""),321.22)</f>
        <v>321.22</v>
      </c>
      <c r="F533" s="3">
        <f>IFERROR(__xludf.DUMMYFUNCTION("""COMPUTED_VALUE"""),2.04782763E8)</f>
        <v>204782763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">
        <f>IFERROR(__xludf.DUMMYFUNCTION("""COMPUTED_VALUE"""),45607.66666666667)</f>
        <v>45607.66667</v>
      </c>
      <c r="B534" s="3">
        <f>IFERROR(__xludf.DUMMYFUNCTION("""COMPUTED_VALUE"""),346.3)</f>
        <v>346.3</v>
      </c>
      <c r="C534" s="3">
        <f>IFERROR(__xludf.DUMMYFUNCTION("""COMPUTED_VALUE"""),358.64)</f>
        <v>358.64</v>
      </c>
      <c r="D534" s="3">
        <f>IFERROR(__xludf.DUMMYFUNCTION("""COMPUTED_VALUE"""),336.0)</f>
        <v>336</v>
      </c>
      <c r="E534" s="3">
        <f>IFERROR(__xludf.DUMMYFUNCTION("""COMPUTED_VALUE"""),350.0)</f>
        <v>350</v>
      </c>
      <c r="F534" s="3">
        <f>IFERROR(__xludf.DUMMYFUNCTION("""COMPUTED_VALUE"""),2.10521625E8)</f>
        <v>210521625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">
        <f>IFERROR(__xludf.DUMMYFUNCTION("""COMPUTED_VALUE"""),45608.66666666667)</f>
        <v>45608.66667</v>
      </c>
      <c r="B535" s="3">
        <f>IFERROR(__xludf.DUMMYFUNCTION("""COMPUTED_VALUE"""),342.74)</f>
        <v>342.74</v>
      </c>
      <c r="C535" s="3">
        <f>IFERROR(__xludf.DUMMYFUNCTION("""COMPUTED_VALUE"""),345.84)</f>
        <v>345.84</v>
      </c>
      <c r="D535" s="3">
        <f>IFERROR(__xludf.DUMMYFUNCTION("""COMPUTED_VALUE"""),323.31)</f>
        <v>323.31</v>
      </c>
      <c r="E535" s="3">
        <f>IFERROR(__xludf.DUMMYFUNCTION("""COMPUTED_VALUE"""),328.49)</f>
        <v>328.49</v>
      </c>
      <c r="F535" s="3">
        <f>IFERROR(__xludf.DUMMYFUNCTION("""COMPUTED_VALUE"""),1.55726016E8)</f>
        <v>155726016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">
        <f>IFERROR(__xludf.DUMMYFUNCTION("""COMPUTED_VALUE"""),45609.66666666667)</f>
        <v>45609.66667</v>
      </c>
      <c r="B536" s="3">
        <f>IFERROR(__xludf.DUMMYFUNCTION("""COMPUTED_VALUE"""),335.85)</f>
        <v>335.85</v>
      </c>
      <c r="C536" s="3">
        <f>IFERROR(__xludf.DUMMYFUNCTION("""COMPUTED_VALUE"""),344.6)</f>
        <v>344.6</v>
      </c>
      <c r="D536" s="3">
        <f>IFERROR(__xludf.DUMMYFUNCTION("""COMPUTED_VALUE"""),322.5)</f>
        <v>322.5</v>
      </c>
      <c r="E536" s="3">
        <f>IFERROR(__xludf.DUMMYFUNCTION("""COMPUTED_VALUE"""),330.24)</f>
        <v>330.24</v>
      </c>
      <c r="F536" s="3">
        <f>IFERROR(__xludf.DUMMYFUNCTION("""COMPUTED_VALUE"""),1.25405599E8)</f>
        <v>125405599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">
        <f>IFERROR(__xludf.DUMMYFUNCTION("""COMPUTED_VALUE"""),45610.66666666667)</f>
        <v>45610.66667</v>
      </c>
      <c r="B537" s="3">
        <f>IFERROR(__xludf.DUMMYFUNCTION("""COMPUTED_VALUE"""),327.69)</f>
        <v>327.69</v>
      </c>
      <c r="C537" s="3">
        <f>IFERROR(__xludf.DUMMYFUNCTION("""COMPUTED_VALUE"""),329.98)</f>
        <v>329.98</v>
      </c>
      <c r="D537" s="3">
        <f>IFERROR(__xludf.DUMMYFUNCTION("""COMPUTED_VALUE"""),310.37)</f>
        <v>310.37</v>
      </c>
      <c r="E537" s="3">
        <f>IFERROR(__xludf.DUMMYFUNCTION("""COMPUTED_VALUE"""),311.18)</f>
        <v>311.18</v>
      </c>
      <c r="F537" s="3">
        <f>IFERROR(__xludf.DUMMYFUNCTION("""COMPUTED_VALUE"""),1.20726109E8)</f>
        <v>120726109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">
        <f>IFERROR(__xludf.DUMMYFUNCTION("""COMPUTED_VALUE"""),45611.66666666667)</f>
        <v>45611.66667</v>
      </c>
      <c r="B538" s="3">
        <f>IFERROR(__xludf.DUMMYFUNCTION("""COMPUTED_VALUE"""),310.57)</f>
        <v>310.57</v>
      </c>
      <c r="C538" s="3">
        <f>IFERROR(__xludf.DUMMYFUNCTION("""COMPUTED_VALUE"""),324.68)</f>
        <v>324.68</v>
      </c>
      <c r="D538" s="3">
        <f>IFERROR(__xludf.DUMMYFUNCTION("""COMPUTED_VALUE"""),309.22)</f>
        <v>309.22</v>
      </c>
      <c r="E538" s="3">
        <f>IFERROR(__xludf.DUMMYFUNCTION("""COMPUTED_VALUE"""),320.72)</f>
        <v>320.72</v>
      </c>
      <c r="F538" s="3">
        <f>IFERROR(__xludf.DUMMYFUNCTION("""COMPUTED_VALUE"""),1.14440286E8)</f>
        <v>114440286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">
        <f>IFERROR(__xludf.DUMMYFUNCTION("""COMPUTED_VALUE"""),45614.66666666667)</f>
        <v>45614.66667</v>
      </c>
      <c r="B539" s="3">
        <f>IFERROR(__xludf.DUMMYFUNCTION("""COMPUTED_VALUE"""),340.73)</f>
        <v>340.73</v>
      </c>
      <c r="C539" s="3">
        <f>IFERROR(__xludf.DUMMYFUNCTION("""COMPUTED_VALUE"""),348.55)</f>
        <v>348.55</v>
      </c>
      <c r="D539" s="3">
        <f>IFERROR(__xludf.DUMMYFUNCTION("""COMPUTED_VALUE"""),330.01)</f>
        <v>330.01</v>
      </c>
      <c r="E539" s="3">
        <f>IFERROR(__xludf.DUMMYFUNCTION("""COMPUTED_VALUE"""),338.74)</f>
        <v>338.74</v>
      </c>
      <c r="F539" s="3">
        <f>IFERROR(__xludf.DUMMYFUNCTION("""COMPUTED_VALUE"""),1.26547455E8)</f>
        <v>126547455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">
        <f>IFERROR(__xludf.DUMMYFUNCTION("""COMPUTED_VALUE"""),45615.66666666667)</f>
        <v>45615.66667</v>
      </c>
      <c r="B540" s="3">
        <f>IFERROR(__xludf.DUMMYFUNCTION("""COMPUTED_VALUE"""),335.76)</f>
        <v>335.76</v>
      </c>
      <c r="C540" s="3">
        <f>IFERROR(__xludf.DUMMYFUNCTION("""COMPUTED_VALUE"""),347.38)</f>
        <v>347.38</v>
      </c>
      <c r="D540" s="3">
        <f>IFERROR(__xludf.DUMMYFUNCTION("""COMPUTED_VALUE"""),332.75)</f>
        <v>332.75</v>
      </c>
      <c r="E540" s="3">
        <f>IFERROR(__xludf.DUMMYFUNCTION("""COMPUTED_VALUE"""),346.0)</f>
        <v>346</v>
      </c>
      <c r="F540" s="3">
        <f>IFERROR(__xludf.DUMMYFUNCTION("""COMPUTED_VALUE"""),8.8852452E7)</f>
        <v>88852452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">
        <f>IFERROR(__xludf.DUMMYFUNCTION("""COMPUTED_VALUE"""),45616.66666666667)</f>
        <v>45616.66667</v>
      </c>
      <c r="B541" s="3">
        <f>IFERROR(__xludf.DUMMYFUNCTION("""COMPUTED_VALUE"""),345.0)</f>
        <v>345</v>
      </c>
      <c r="C541" s="3">
        <f>IFERROR(__xludf.DUMMYFUNCTION("""COMPUTED_VALUE"""),346.6)</f>
        <v>346.6</v>
      </c>
      <c r="D541" s="3">
        <f>IFERROR(__xludf.DUMMYFUNCTION("""COMPUTED_VALUE"""),334.3)</f>
        <v>334.3</v>
      </c>
      <c r="E541" s="3">
        <f>IFERROR(__xludf.DUMMYFUNCTION("""COMPUTED_VALUE"""),342.03)</f>
        <v>342.03</v>
      </c>
      <c r="F541" s="3">
        <f>IFERROR(__xludf.DUMMYFUNCTION("""COMPUTED_VALUE"""),6.634065E7)</f>
        <v>66340650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">
        <f>IFERROR(__xludf.DUMMYFUNCTION("""COMPUTED_VALUE"""),45617.66666666667)</f>
        <v>45617.66667</v>
      </c>
      <c r="B542" s="3">
        <f>IFERROR(__xludf.DUMMYFUNCTION("""COMPUTED_VALUE"""),343.81)</f>
        <v>343.81</v>
      </c>
      <c r="C542" s="3">
        <f>IFERROR(__xludf.DUMMYFUNCTION("""COMPUTED_VALUE"""),347.99)</f>
        <v>347.99</v>
      </c>
      <c r="D542" s="3">
        <f>IFERROR(__xludf.DUMMYFUNCTION("""COMPUTED_VALUE"""),335.28)</f>
        <v>335.28</v>
      </c>
      <c r="E542" s="3">
        <f>IFERROR(__xludf.DUMMYFUNCTION("""COMPUTED_VALUE"""),339.64)</f>
        <v>339.64</v>
      </c>
      <c r="F542" s="3">
        <f>IFERROR(__xludf.DUMMYFUNCTION("""COMPUTED_VALUE"""),5.8011719E7)</f>
        <v>58011719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">
        <f>IFERROR(__xludf.DUMMYFUNCTION("""COMPUTED_VALUE"""),45618.66666666667)</f>
        <v>45618.66667</v>
      </c>
      <c r="B543" s="3">
        <f>IFERROR(__xludf.DUMMYFUNCTION("""COMPUTED_VALUE"""),341.09)</f>
        <v>341.09</v>
      </c>
      <c r="C543" s="3">
        <f>IFERROR(__xludf.DUMMYFUNCTION("""COMPUTED_VALUE"""),361.53)</f>
        <v>361.53</v>
      </c>
      <c r="D543" s="3">
        <f>IFERROR(__xludf.DUMMYFUNCTION("""COMPUTED_VALUE"""),337.7)</f>
        <v>337.7</v>
      </c>
      <c r="E543" s="3">
        <f>IFERROR(__xludf.DUMMYFUNCTION("""COMPUTED_VALUE"""),352.56)</f>
        <v>352.56</v>
      </c>
      <c r="F543" s="3">
        <f>IFERROR(__xludf.DUMMYFUNCTION("""COMPUTED_VALUE"""),8.9140722E7)</f>
        <v>89140722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">
        <f>IFERROR(__xludf.DUMMYFUNCTION("""COMPUTED_VALUE"""),45621.66666666667)</f>
        <v>45621.66667</v>
      </c>
      <c r="B544" s="3">
        <f>IFERROR(__xludf.DUMMYFUNCTION("""COMPUTED_VALUE"""),360.14)</f>
        <v>360.14</v>
      </c>
      <c r="C544" s="3">
        <f>IFERROR(__xludf.DUMMYFUNCTION("""COMPUTED_VALUE"""),361.93)</f>
        <v>361.93</v>
      </c>
      <c r="D544" s="3">
        <f>IFERROR(__xludf.DUMMYFUNCTION("""COMPUTED_VALUE"""),338.2)</f>
        <v>338.2</v>
      </c>
      <c r="E544" s="3">
        <f>IFERROR(__xludf.DUMMYFUNCTION("""COMPUTED_VALUE"""),338.59)</f>
        <v>338.59</v>
      </c>
      <c r="F544" s="3">
        <f>IFERROR(__xludf.DUMMYFUNCTION("""COMPUTED_VALUE"""),9.5890899E7)</f>
        <v>95890899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">
        <f>IFERROR(__xludf.DUMMYFUNCTION("""COMPUTED_VALUE"""),45622.66666666667)</f>
        <v>45622.66667</v>
      </c>
      <c r="B545" s="3">
        <f>IFERROR(__xludf.DUMMYFUNCTION("""COMPUTED_VALUE"""),341.0)</f>
        <v>341</v>
      </c>
      <c r="C545" s="3">
        <f>IFERROR(__xludf.DUMMYFUNCTION("""COMPUTED_VALUE"""),346.96)</f>
        <v>346.96</v>
      </c>
      <c r="D545" s="3">
        <f>IFERROR(__xludf.DUMMYFUNCTION("""COMPUTED_VALUE"""),335.66)</f>
        <v>335.66</v>
      </c>
      <c r="E545" s="3">
        <f>IFERROR(__xludf.DUMMYFUNCTION("""COMPUTED_VALUE"""),338.23)</f>
        <v>338.23</v>
      </c>
      <c r="F545" s="3">
        <f>IFERROR(__xludf.DUMMYFUNCTION("""COMPUTED_VALUE"""),6.2295857E7)</f>
        <v>62295857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">
        <f>IFERROR(__xludf.DUMMYFUNCTION("""COMPUTED_VALUE"""),45623.66666666667)</f>
        <v>45623.66667</v>
      </c>
      <c r="B546" s="3">
        <f>IFERROR(__xludf.DUMMYFUNCTION("""COMPUTED_VALUE"""),341.8)</f>
        <v>341.8</v>
      </c>
      <c r="C546" s="3">
        <f>IFERROR(__xludf.DUMMYFUNCTION("""COMPUTED_VALUE"""),342.55)</f>
        <v>342.55</v>
      </c>
      <c r="D546" s="3">
        <f>IFERROR(__xludf.DUMMYFUNCTION("""COMPUTED_VALUE"""),326.59)</f>
        <v>326.59</v>
      </c>
      <c r="E546" s="3">
        <f>IFERROR(__xludf.DUMMYFUNCTION("""COMPUTED_VALUE"""),332.89)</f>
        <v>332.89</v>
      </c>
      <c r="F546" s="3">
        <f>IFERROR(__xludf.DUMMYFUNCTION("""COMPUTED_VALUE"""),5.7896439E7)</f>
        <v>57896439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">
        <f>IFERROR(__xludf.DUMMYFUNCTION("""COMPUTED_VALUE"""),45625.54513888889)</f>
        <v>45625.54514</v>
      </c>
      <c r="B547" s="3">
        <f>IFERROR(__xludf.DUMMYFUNCTION("""COMPUTED_VALUE"""),336.08)</f>
        <v>336.08</v>
      </c>
      <c r="C547" s="3">
        <f>IFERROR(__xludf.DUMMYFUNCTION("""COMPUTED_VALUE"""),345.45)</f>
        <v>345.45</v>
      </c>
      <c r="D547" s="3">
        <f>IFERROR(__xludf.DUMMYFUNCTION("""COMPUTED_VALUE"""),334.65)</f>
        <v>334.65</v>
      </c>
      <c r="E547" s="3">
        <f>IFERROR(__xludf.DUMMYFUNCTION("""COMPUTED_VALUE"""),345.16)</f>
        <v>345.16</v>
      </c>
      <c r="F547" s="3">
        <f>IFERROR(__xludf.DUMMYFUNCTION("""COMPUTED_VALUE"""),3.7167621E7)</f>
        <v>37167621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">
        <f>IFERROR(__xludf.DUMMYFUNCTION("""COMPUTED_VALUE"""),45628.66666666667)</f>
        <v>45628.66667</v>
      </c>
      <c r="B548" s="3">
        <f>IFERROR(__xludf.DUMMYFUNCTION("""COMPUTED_VALUE"""),352.38)</f>
        <v>352.38</v>
      </c>
      <c r="C548" s="3">
        <f>IFERROR(__xludf.DUMMYFUNCTION("""COMPUTED_VALUE"""),360.0)</f>
        <v>360</v>
      </c>
      <c r="D548" s="3">
        <f>IFERROR(__xludf.DUMMYFUNCTION("""COMPUTED_VALUE"""),351.15)</f>
        <v>351.15</v>
      </c>
      <c r="E548" s="3">
        <f>IFERROR(__xludf.DUMMYFUNCTION("""COMPUTED_VALUE"""),357.09)</f>
        <v>357.09</v>
      </c>
      <c r="F548" s="3">
        <f>IFERROR(__xludf.DUMMYFUNCTION("""COMPUTED_VALUE"""),7.7986478E7)</f>
        <v>77986478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">
        <f>IFERROR(__xludf.DUMMYFUNCTION("""COMPUTED_VALUE"""),45629.66666666667)</f>
        <v>45629.66667</v>
      </c>
      <c r="B549" s="3">
        <f>IFERROR(__xludf.DUMMYFUNCTION("""COMPUTED_VALUE"""),351.8)</f>
        <v>351.8</v>
      </c>
      <c r="C549" s="3">
        <f>IFERROR(__xludf.DUMMYFUNCTION("""COMPUTED_VALUE"""),355.69)</f>
        <v>355.69</v>
      </c>
      <c r="D549" s="3">
        <f>IFERROR(__xludf.DUMMYFUNCTION("""COMPUTED_VALUE"""),348.2)</f>
        <v>348.2</v>
      </c>
      <c r="E549" s="3">
        <f>IFERROR(__xludf.DUMMYFUNCTION("""COMPUTED_VALUE"""),351.42)</f>
        <v>351.42</v>
      </c>
      <c r="F549" s="3">
        <f>IFERROR(__xludf.DUMMYFUNCTION("""COMPUTED_VALUE"""),5.8267196E7)</f>
        <v>58267196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">
        <f>IFERROR(__xludf.DUMMYFUNCTION("""COMPUTED_VALUE"""),45630.66666666667)</f>
        <v>45630.66667</v>
      </c>
      <c r="B550" s="3">
        <f>IFERROR(__xludf.DUMMYFUNCTION("""COMPUTED_VALUE"""),353.0)</f>
        <v>353</v>
      </c>
      <c r="C550" s="3">
        <f>IFERROR(__xludf.DUMMYFUNCTION("""COMPUTED_VALUE"""),358.1)</f>
        <v>358.1</v>
      </c>
      <c r="D550" s="3">
        <f>IFERROR(__xludf.DUMMYFUNCTION("""COMPUTED_VALUE"""),348.6)</f>
        <v>348.6</v>
      </c>
      <c r="E550" s="3">
        <f>IFERROR(__xludf.DUMMYFUNCTION("""COMPUTED_VALUE"""),357.93)</f>
        <v>357.93</v>
      </c>
      <c r="F550" s="3">
        <f>IFERROR(__xludf.DUMMYFUNCTION("""COMPUTED_VALUE"""),5.0810874E7)</f>
        <v>50810874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">
        <f>IFERROR(__xludf.DUMMYFUNCTION("""COMPUTED_VALUE"""),45631.66666666667)</f>
        <v>45631.66667</v>
      </c>
      <c r="B551" s="3">
        <f>IFERROR(__xludf.DUMMYFUNCTION("""COMPUTED_VALUE"""),359.87)</f>
        <v>359.87</v>
      </c>
      <c r="C551" s="3">
        <f>IFERROR(__xludf.DUMMYFUNCTION("""COMPUTED_VALUE"""),375.43)</f>
        <v>375.43</v>
      </c>
      <c r="D551" s="3">
        <f>IFERROR(__xludf.DUMMYFUNCTION("""COMPUTED_VALUE"""),359.5)</f>
        <v>359.5</v>
      </c>
      <c r="E551" s="3">
        <f>IFERROR(__xludf.DUMMYFUNCTION("""COMPUTED_VALUE"""),369.49)</f>
        <v>369.49</v>
      </c>
      <c r="F551" s="3">
        <f>IFERROR(__xludf.DUMMYFUNCTION("""COMPUTED_VALUE"""),8.1403569E7)</f>
        <v>81403569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">
        <f>IFERROR(__xludf.DUMMYFUNCTION("""COMPUTED_VALUE"""),45632.66666666667)</f>
        <v>45632.66667</v>
      </c>
      <c r="B552" s="3">
        <f>IFERROR(__xludf.DUMMYFUNCTION("""COMPUTED_VALUE"""),377.42)</f>
        <v>377.42</v>
      </c>
      <c r="C552" s="3">
        <f>IFERROR(__xludf.DUMMYFUNCTION("""COMPUTED_VALUE"""),389.49)</f>
        <v>389.49</v>
      </c>
      <c r="D552" s="3">
        <f>IFERROR(__xludf.DUMMYFUNCTION("""COMPUTED_VALUE"""),370.8)</f>
        <v>370.8</v>
      </c>
      <c r="E552" s="3">
        <f>IFERROR(__xludf.DUMMYFUNCTION("""COMPUTED_VALUE"""),389.22)</f>
        <v>389.22</v>
      </c>
      <c r="F552" s="3">
        <f>IFERROR(__xludf.DUMMYFUNCTION("""COMPUTED_VALUE"""),8.1455834E7)</f>
        <v>81455834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">
        <f>IFERROR(__xludf.DUMMYFUNCTION("""COMPUTED_VALUE"""),45635.66666666667)</f>
        <v>45635.66667</v>
      </c>
      <c r="B553" s="3">
        <f>IFERROR(__xludf.DUMMYFUNCTION("""COMPUTED_VALUE"""),397.61)</f>
        <v>397.61</v>
      </c>
      <c r="C553" s="3">
        <f>IFERROR(__xludf.DUMMYFUNCTION("""COMPUTED_VALUE"""),404.8)</f>
        <v>404.8</v>
      </c>
      <c r="D553" s="3">
        <f>IFERROR(__xludf.DUMMYFUNCTION("""COMPUTED_VALUE"""),378.01)</f>
        <v>378.01</v>
      </c>
      <c r="E553" s="3">
        <f>IFERROR(__xludf.DUMMYFUNCTION("""COMPUTED_VALUE"""),389.79)</f>
        <v>389.79</v>
      </c>
      <c r="F553" s="3">
        <f>IFERROR(__xludf.DUMMYFUNCTION("""COMPUTED_VALUE"""),9.6359173E7)</f>
        <v>96359173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">
        <f>IFERROR(__xludf.DUMMYFUNCTION("""COMPUTED_VALUE"""),45636.66666666667)</f>
        <v>45636.66667</v>
      </c>
      <c r="B554" s="3">
        <f>IFERROR(__xludf.DUMMYFUNCTION("""COMPUTED_VALUE"""),392.68)</f>
        <v>392.68</v>
      </c>
      <c r="C554" s="3">
        <f>IFERROR(__xludf.DUMMYFUNCTION("""COMPUTED_VALUE"""),409.73)</f>
        <v>409.73</v>
      </c>
      <c r="D554" s="3">
        <f>IFERROR(__xludf.DUMMYFUNCTION("""COMPUTED_VALUE"""),390.85)</f>
        <v>390.85</v>
      </c>
      <c r="E554" s="3">
        <f>IFERROR(__xludf.DUMMYFUNCTION("""COMPUTED_VALUE"""),400.99)</f>
        <v>400.99</v>
      </c>
      <c r="F554" s="3">
        <f>IFERROR(__xludf.DUMMYFUNCTION("""COMPUTED_VALUE"""),9.7563578E7)</f>
        <v>97563578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">
        <f>IFERROR(__xludf.DUMMYFUNCTION("""COMPUTED_VALUE"""),45637.66666666667)</f>
        <v>45637.66667</v>
      </c>
      <c r="B555" s="3">
        <f>IFERROR(__xludf.DUMMYFUNCTION("""COMPUTED_VALUE"""),409.7)</f>
        <v>409.7</v>
      </c>
      <c r="C555" s="3">
        <f>IFERROR(__xludf.DUMMYFUNCTION("""COMPUTED_VALUE"""),424.88)</f>
        <v>424.88</v>
      </c>
      <c r="D555" s="3">
        <f>IFERROR(__xludf.DUMMYFUNCTION("""COMPUTED_VALUE"""),402.38)</f>
        <v>402.38</v>
      </c>
      <c r="E555" s="3">
        <f>IFERROR(__xludf.DUMMYFUNCTION("""COMPUTED_VALUE"""),424.77)</f>
        <v>424.77</v>
      </c>
      <c r="F555" s="3">
        <f>IFERROR(__xludf.DUMMYFUNCTION("""COMPUTED_VALUE"""),1.04287559E8)</f>
        <v>104287559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">
        <f>IFERROR(__xludf.DUMMYFUNCTION("""COMPUTED_VALUE"""),45638.66666666667)</f>
        <v>45638.66667</v>
      </c>
      <c r="B556" s="3">
        <f>IFERROR(__xludf.DUMMYFUNCTION("""COMPUTED_VALUE"""),424.84)</f>
        <v>424.84</v>
      </c>
      <c r="C556" s="3">
        <f>IFERROR(__xludf.DUMMYFUNCTION("""COMPUTED_VALUE"""),429.3)</f>
        <v>429.3</v>
      </c>
      <c r="D556" s="3">
        <f>IFERROR(__xludf.DUMMYFUNCTION("""COMPUTED_VALUE"""),415.0)</f>
        <v>415</v>
      </c>
      <c r="E556" s="3">
        <f>IFERROR(__xludf.DUMMYFUNCTION("""COMPUTED_VALUE"""),418.1)</f>
        <v>418.1</v>
      </c>
      <c r="F556" s="3">
        <f>IFERROR(__xludf.DUMMYFUNCTION("""COMPUTED_VALUE"""),8.7752225E7)</f>
        <v>87752225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">
        <f>IFERROR(__xludf.DUMMYFUNCTION("""COMPUTED_VALUE"""),45639.66666666667)</f>
        <v>45639.66667</v>
      </c>
      <c r="B557" s="3">
        <f>IFERROR(__xludf.DUMMYFUNCTION("""COMPUTED_VALUE"""),420.0)</f>
        <v>420</v>
      </c>
      <c r="C557" s="3">
        <f>IFERROR(__xludf.DUMMYFUNCTION("""COMPUTED_VALUE"""),436.3)</f>
        <v>436.3</v>
      </c>
      <c r="D557" s="3">
        <f>IFERROR(__xludf.DUMMYFUNCTION("""COMPUTED_VALUE"""),415.71)</f>
        <v>415.71</v>
      </c>
      <c r="E557" s="3">
        <f>IFERROR(__xludf.DUMMYFUNCTION("""COMPUTED_VALUE"""),436.23)</f>
        <v>436.23</v>
      </c>
      <c r="F557" s="3">
        <f>IFERROR(__xludf.DUMMYFUNCTION("""COMPUTED_VALUE"""),8.9000158E7)</f>
        <v>89000158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">
        <f>IFERROR(__xludf.DUMMYFUNCTION("""COMPUTED_VALUE"""),45642.66666666667)</f>
        <v>45642.66667</v>
      </c>
      <c r="B558" s="3">
        <f>IFERROR(__xludf.DUMMYFUNCTION("""COMPUTED_VALUE"""),441.09)</f>
        <v>441.09</v>
      </c>
      <c r="C558" s="3">
        <f>IFERROR(__xludf.DUMMYFUNCTION("""COMPUTED_VALUE"""),463.19)</f>
        <v>463.19</v>
      </c>
      <c r="D558" s="3">
        <f>IFERROR(__xludf.DUMMYFUNCTION("""COMPUTED_VALUE"""),436.15)</f>
        <v>436.15</v>
      </c>
      <c r="E558" s="3">
        <f>IFERROR(__xludf.DUMMYFUNCTION("""COMPUTED_VALUE"""),463.02)</f>
        <v>463.02</v>
      </c>
      <c r="F558" s="3">
        <f>IFERROR(__xludf.DUMMYFUNCTION("""COMPUTED_VALUE"""),1.14083811E8)</f>
        <v>114083811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">
        <f>IFERROR(__xludf.DUMMYFUNCTION("""COMPUTED_VALUE"""),45643.66666666667)</f>
        <v>45643.66667</v>
      </c>
      <c r="B559" s="3">
        <f>IFERROR(__xludf.DUMMYFUNCTION("""COMPUTED_VALUE"""),475.9)</f>
        <v>475.9</v>
      </c>
      <c r="C559" s="3">
        <f>IFERROR(__xludf.DUMMYFUNCTION("""COMPUTED_VALUE"""),483.99)</f>
        <v>483.99</v>
      </c>
      <c r="D559" s="3">
        <f>IFERROR(__xludf.DUMMYFUNCTION("""COMPUTED_VALUE"""),457.51)</f>
        <v>457.51</v>
      </c>
      <c r="E559" s="3">
        <f>IFERROR(__xludf.DUMMYFUNCTION("""COMPUTED_VALUE"""),479.86)</f>
        <v>479.86</v>
      </c>
      <c r="F559" s="3">
        <f>IFERROR(__xludf.DUMMYFUNCTION("""COMPUTED_VALUE"""),1.31222978E8)</f>
        <v>131222978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">
        <f>IFERROR(__xludf.DUMMYFUNCTION("""COMPUTED_VALUE"""),45644.66666666667)</f>
        <v>45644.66667</v>
      </c>
      <c r="B560" s="3">
        <f>IFERROR(__xludf.DUMMYFUNCTION("""COMPUTED_VALUE"""),466.5)</f>
        <v>466.5</v>
      </c>
      <c r="C560" s="3">
        <f>IFERROR(__xludf.DUMMYFUNCTION("""COMPUTED_VALUE"""),488.54)</f>
        <v>488.54</v>
      </c>
      <c r="D560" s="3">
        <f>IFERROR(__xludf.DUMMYFUNCTION("""COMPUTED_VALUE"""),427.01)</f>
        <v>427.01</v>
      </c>
      <c r="E560" s="3">
        <f>IFERROR(__xludf.DUMMYFUNCTION("""COMPUTED_VALUE"""),440.13)</f>
        <v>440.13</v>
      </c>
      <c r="F560" s="3">
        <f>IFERROR(__xludf.DUMMYFUNCTION("""COMPUTED_VALUE"""),1.49340788E8)</f>
        <v>149340788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">
        <f>IFERROR(__xludf.DUMMYFUNCTION("""COMPUTED_VALUE"""),45645.66666666667)</f>
        <v>45645.66667</v>
      </c>
      <c r="B561" s="3">
        <f>IFERROR(__xludf.DUMMYFUNCTION("""COMPUTED_VALUE"""),451.88)</f>
        <v>451.88</v>
      </c>
      <c r="C561" s="3">
        <f>IFERROR(__xludf.DUMMYFUNCTION("""COMPUTED_VALUE"""),456.36)</f>
        <v>456.36</v>
      </c>
      <c r="D561" s="3">
        <f>IFERROR(__xludf.DUMMYFUNCTION("""COMPUTED_VALUE"""),420.02)</f>
        <v>420.02</v>
      </c>
      <c r="E561" s="3">
        <f>IFERROR(__xludf.DUMMYFUNCTION("""COMPUTED_VALUE"""),436.17)</f>
        <v>436.17</v>
      </c>
      <c r="F561" s="3">
        <f>IFERROR(__xludf.DUMMYFUNCTION("""COMPUTED_VALUE"""),1.18566146E8)</f>
        <v>118566146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">
        <f>IFERROR(__xludf.DUMMYFUNCTION("""COMPUTED_VALUE"""),45646.66666666667)</f>
        <v>45646.66667</v>
      </c>
      <c r="B562" s="3">
        <f>IFERROR(__xludf.DUMMYFUNCTION("""COMPUTED_VALUE"""),425.51)</f>
        <v>425.51</v>
      </c>
      <c r="C562" s="3">
        <f>IFERROR(__xludf.DUMMYFUNCTION("""COMPUTED_VALUE"""),447.08)</f>
        <v>447.08</v>
      </c>
      <c r="D562" s="3">
        <f>IFERROR(__xludf.DUMMYFUNCTION("""COMPUTED_VALUE"""),417.64)</f>
        <v>417.64</v>
      </c>
      <c r="E562" s="3">
        <f>IFERROR(__xludf.DUMMYFUNCTION("""COMPUTED_VALUE"""),421.06)</f>
        <v>421.06</v>
      </c>
      <c r="F562" s="3">
        <f>IFERROR(__xludf.DUMMYFUNCTION("""COMPUTED_VALUE"""),1.32216176E8)</f>
        <v>132216176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">
        <f>IFERROR(__xludf.DUMMYFUNCTION("""COMPUTED_VALUE"""),45649.66666666667)</f>
        <v>45649.66667</v>
      </c>
      <c r="B563" s="3">
        <f>IFERROR(__xludf.DUMMYFUNCTION("""COMPUTED_VALUE"""),431.0)</f>
        <v>431</v>
      </c>
      <c r="C563" s="3">
        <f>IFERROR(__xludf.DUMMYFUNCTION("""COMPUTED_VALUE"""),434.51)</f>
        <v>434.51</v>
      </c>
      <c r="D563" s="3">
        <f>IFERROR(__xludf.DUMMYFUNCTION("""COMPUTED_VALUE"""),415.41)</f>
        <v>415.41</v>
      </c>
      <c r="E563" s="3">
        <f>IFERROR(__xludf.DUMMYFUNCTION("""COMPUTED_VALUE"""),430.6)</f>
        <v>430.6</v>
      </c>
      <c r="F563" s="3">
        <f>IFERROR(__xludf.DUMMYFUNCTION("""COMPUTED_VALUE"""),7.2698055E7)</f>
        <v>72698055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">
        <f>IFERROR(__xludf.DUMMYFUNCTION("""COMPUTED_VALUE"""),45650.54513888889)</f>
        <v>45650.54514</v>
      </c>
      <c r="B564" s="3">
        <f>IFERROR(__xludf.DUMMYFUNCTION("""COMPUTED_VALUE"""),435.9)</f>
        <v>435.9</v>
      </c>
      <c r="C564" s="3">
        <f>IFERROR(__xludf.DUMMYFUNCTION("""COMPUTED_VALUE"""),462.78)</f>
        <v>462.78</v>
      </c>
      <c r="D564" s="3">
        <f>IFERROR(__xludf.DUMMYFUNCTION("""COMPUTED_VALUE"""),435.14)</f>
        <v>435.14</v>
      </c>
      <c r="E564" s="3">
        <f>IFERROR(__xludf.DUMMYFUNCTION("""COMPUTED_VALUE"""),462.28)</f>
        <v>462.28</v>
      </c>
      <c r="F564" s="3">
        <f>IFERROR(__xludf.DUMMYFUNCTION("""COMPUTED_VALUE"""),5.955175E7)</f>
        <v>59551750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">
        <f>IFERROR(__xludf.DUMMYFUNCTION("""COMPUTED_VALUE"""),45652.66666666667)</f>
        <v>45652.66667</v>
      </c>
      <c r="B565" s="3">
        <f>IFERROR(__xludf.DUMMYFUNCTION("""COMPUTED_VALUE"""),465.16)</f>
        <v>465.16</v>
      </c>
      <c r="C565" s="3">
        <f>IFERROR(__xludf.DUMMYFUNCTION("""COMPUTED_VALUE"""),465.33)</f>
        <v>465.33</v>
      </c>
      <c r="D565" s="3">
        <f>IFERROR(__xludf.DUMMYFUNCTION("""COMPUTED_VALUE"""),451.02)</f>
        <v>451.02</v>
      </c>
      <c r="E565" s="3">
        <f>IFERROR(__xludf.DUMMYFUNCTION("""COMPUTED_VALUE"""),454.13)</f>
        <v>454.13</v>
      </c>
      <c r="F565" s="3">
        <f>IFERROR(__xludf.DUMMYFUNCTION("""COMPUTED_VALUE"""),7.665121E7)</f>
        <v>76651210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">
        <f>IFERROR(__xludf.DUMMYFUNCTION("""COMPUTED_VALUE"""),45653.66666666667)</f>
        <v>45653.66667</v>
      </c>
      <c r="B566" s="3">
        <f>IFERROR(__xludf.DUMMYFUNCTION("""COMPUTED_VALUE"""),449.52)</f>
        <v>449.52</v>
      </c>
      <c r="C566" s="3">
        <f>IFERROR(__xludf.DUMMYFUNCTION("""COMPUTED_VALUE"""),450.0)</f>
        <v>450</v>
      </c>
      <c r="D566" s="3">
        <f>IFERROR(__xludf.DUMMYFUNCTION("""COMPUTED_VALUE"""),426.5)</f>
        <v>426.5</v>
      </c>
      <c r="E566" s="3">
        <f>IFERROR(__xludf.DUMMYFUNCTION("""COMPUTED_VALUE"""),431.66)</f>
        <v>431.66</v>
      </c>
      <c r="F566" s="3">
        <f>IFERROR(__xludf.DUMMYFUNCTION("""COMPUTED_VALUE"""),8.2666821E7)</f>
        <v>82666821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">
        <f>IFERROR(__xludf.DUMMYFUNCTION("""COMPUTED_VALUE"""),45656.66666666667)</f>
        <v>45656.66667</v>
      </c>
      <c r="B567" s="3">
        <f>IFERROR(__xludf.DUMMYFUNCTION("""COMPUTED_VALUE"""),419.4)</f>
        <v>419.4</v>
      </c>
      <c r="C567" s="3">
        <f>IFERROR(__xludf.DUMMYFUNCTION("""COMPUTED_VALUE"""),427.0)</f>
        <v>427</v>
      </c>
      <c r="D567" s="3">
        <f>IFERROR(__xludf.DUMMYFUNCTION("""COMPUTED_VALUE"""),415.75)</f>
        <v>415.75</v>
      </c>
      <c r="E567" s="3">
        <f>IFERROR(__xludf.DUMMYFUNCTION("""COMPUTED_VALUE"""),417.41)</f>
        <v>417.41</v>
      </c>
      <c r="F567" s="3">
        <f>IFERROR(__xludf.DUMMYFUNCTION("""COMPUTED_VALUE"""),6.4941012E7)</f>
        <v>64941012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">
        <f>IFERROR(__xludf.DUMMYFUNCTION("""COMPUTED_VALUE"""),45657.66666666667)</f>
        <v>45657.66667</v>
      </c>
      <c r="B568" s="3">
        <f>IFERROR(__xludf.DUMMYFUNCTION("""COMPUTED_VALUE"""),423.79)</f>
        <v>423.79</v>
      </c>
      <c r="C568" s="3">
        <f>IFERROR(__xludf.DUMMYFUNCTION("""COMPUTED_VALUE"""),427.93)</f>
        <v>427.93</v>
      </c>
      <c r="D568" s="3">
        <f>IFERROR(__xludf.DUMMYFUNCTION("""COMPUTED_VALUE"""),402.54)</f>
        <v>402.54</v>
      </c>
      <c r="E568" s="3">
        <f>IFERROR(__xludf.DUMMYFUNCTION("""COMPUTED_VALUE"""),403.84)</f>
        <v>403.84</v>
      </c>
      <c r="F568" s="3">
        <f>IFERROR(__xludf.DUMMYFUNCTION("""COMPUTED_VALUE"""),7.6825121E7)</f>
        <v>76825121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">
        <f>IFERROR(__xludf.DUMMYFUNCTION("""COMPUTED_VALUE"""),45659.66666666667)</f>
        <v>45659.66667</v>
      </c>
      <c r="B569" s="3">
        <f>IFERROR(__xludf.DUMMYFUNCTION("""COMPUTED_VALUE"""),390.1)</f>
        <v>390.1</v>
      </c>
      <c r="C569" s="3">
        <f>IFERROR(__xludf.DUMMYFUNCTION("""COMPUTED_VALUE"""),392.73)</f>
        <v>392.73</v>
      </c>
      <c r="D569" s="3">
        <f>IFERROR(__xludf.DUMMYFUNCTION("""COMPUTED_VALUE"""),373.04)</f>
        <v>373.04</v>
      </c>
      <c r="E569" s="3">
        <f>IFERROR(__xludf.DUMMYFUNCTION("""COMPUTED_VALUE"""),379.28)</f>
        <v>379.28</v>
      </c>
      <c r="F569" s="3">
        <f>IFERROR(__xludf.DUMMYFUNCTION("""COMPUTED_VALUE"""),1.09710749E8)</f>
        <v>109710749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">
        <f>IFERROR(__xludf.DUMMYFUNCTION("""COMPUTED_VALUE"""),45660.66666666667)</f>
        <v>45660.66667</v>
      </c>
      <c r="B570" s="3">
        <f>IFERROR(__xludf.DUMMYFUNCTION("""COMPUTED_VALUE"""),381.48)</f>
        <v>381.48</v>
      </c>
      <c r="C570" s="3">
        <f>IFERROR(__xludf.DUMMYFUNCTION("""COMPUTED_VALUE"""),411.88)</f>
        <v>411.88</v>
      </c>
      <c r="D570" s="3">
        <f>IFERROR(__xludf.DUMMYFUNCTION("""COMPUTED_VALUE"""),379.45)</f>
        <v>379.45</v>
      </c>
      <c r="E570" s="3">
        <f>IFERROR(__xludf.DUMMYFUNCTION("""COMPUTED_VALUE"""),410.44)</f>
        <v>410.44</v>
      </c>
      <c r="F570" s="3">
        <f>IFERROR(__xludf.DUMMYFUNCTION("""COMPUTED_VALUE"""),9.5423329E7)</f>
        <v>95423329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">
        <f>IFERROR(__xludf.DUMMYFUNCTION("""COMPUTED_VALUE"""),45663.66666666667)</f>
        <v>45663.66667</v>
      </c>
      <c r="B571" s="3">
        <f>IFERROR(__xludf.DUMMYFUNCTION("""COMPUTED_VALUE"""),423.2)</f>
        <v>423.2</v>
      </c>
      <c r="C571" s="3">
        <f>IFERROR(__xludf.DUMMYFUNCTION("""COMPUTED_VALUE"""),426.43)</f>
        <v>426.43</v>
      </c>
      <c r="D571" s="3">
        <f>IFERROR(__xludf.DUMMYFUNCTION("""COMPUTED_VALUE"""),401.7)</f>
        <v>401.7</v>
      </c>
      <c r="E571" s="3">
        <f>IFERROR(__xludf.DUMMYFUNCTION("""COMPUTED_VALUE"""),411.05)</f>
        <v>411.05</v>
      </c>
      <c r="F571" s="3">
        <f>IFERROR(__xludf.DUMMYFUNCTION("""COMPUTED_VALUE"""),8.5516534E7)</f>
        <v>85516534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">
        <f>IFERROR(__xludf.DUMMYFUNCTION("""COMPUTED_VALUE"""),45664.66666666667)</f>
        <v>45664.66667</v>
      </c>
      <c r="B572" s="3">
        <f>IFERROR(__xludf.DUMMYFUNCTION("""COMPUTED_VALUE"""),405.83)</f>
        <v>405.83</v>
      </c>
      <c r="C572" s="3">
        <f>IFERROR(__xludf.DUMMYFUNCTION("""COMPUTED_VALUE"""),414.33)</f>
        <v>414.33</v>
      </c>
      <c r="D572" s="3">
        <f>IFERROR(__xludf.DUMMYFUNCTION("""COMPUTED_VALUE"""),390.0)</f>
        <v>390</v>
      </c>
      <c r="E572" s="3">
        <f>IFERROR(__xludf.DUMMYFUNCTION("""COMPUTED_VALUE"""),394.36)</f>
        <v>394.36</v>
      </c>
      <c r="F572" s="3">
        <f>IFERROR(__xludf.DUMMYFUNCTION("""COMPUTED_VALUE"""),7.5699525E7)</f>
        <v>75699525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">
        <f>IFERROR(__xludf.DUMMYFUNCTION("""COMPUTED_VALUE"""),45665.66666666667)</f>
        <v>45665.66667</v>
      </c>
      <c r="B573" s="3">
        <f>IFERROR(__xludf.DUMMYFUNCTION("""COMPUTED_VALUE"""),392.95)</f>
        <v>392.95</v>
      </c>
      <c r="C573" s="3">
        <f>IFERROR(__xludf.DUMMYFUNCTION("""COMPUTED_VALUE"""),402.5)</f>
        <v>402.5</v>
      </c>
      <c r="D573" s="3">
        <f>IFERROR(__xludf.DUMMYFUNCTION("""COMPUTED_VALUE"""),387.4)</f>
        <v>387.4</v>
      </c>
      <c r="E573" s="3">
        <f>IFERROR(__xludf.DUMMYFUNCTION("""COMPUTED_VALUE"""),394.94)</f>
        <v>394.94</v>
      </c>
      <c r="F573" s="3">
        <f>IFERROR(__xludf.DUMMYFUNCTION("""COMPUTED_VALUE"""),7.3038805E7)</f>
        <v>73038805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">
        <f>IFERROR(__xludf.DUMMYFUNCTION("""COMPUTED_VALUE"""),45667.66666666667)</f>
        <v>45667.66667</v>
      </c>
      <c r="B574" s="3">
        <f>IFERROR(__xludf.DUMMYFUNCTION("""COMPUTED_VALUE"""),391.4)</f>
        <v>391.4</v>
      </c>
      <c r="C574" s="3">
        <f>IFERROR(__xludf.DUMMYFUNCTION("""COMPUTED_VALUE"""),399.28)</f>
        <v>399.28</v>
      </c>
      <c r="D574" s="3">
        <f>IFERROR(__xludf.DUMMYFUNCTION("""COMPUTED_VALUE"""),377.29)</f>
        <v>377.29</v>
      </c>
      <c r="E574" s="3">
        <f>IFERROR(__xludf.DUMMYFUNCTION("""COMPUTED_VALUE"""),394.74)</f>
        <v>394.74</v>
      </c>
      <c r="F574" s="3">
        <f>IFERROR(__xludf.DUMMYFUNCTION("""COMPUTED_VALUE"""),6.2287333E7)</f>
        <v>62287333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">
        <f>IFERROR(__xludf.DUMMYFUNCTION("""COMPUTED_VALUE"""),45670.66666666667)</f>
        <v>45670.66667</v>
      </c>
      <c r="B575" s="3">
        <f>IFERROR(__xludf.DUMMYFUNCTION("""COMPUTED_VALUE"""),383.21)</f>
        <v>383.21</v>
      </c>
      <c r="C575" s="3">
        <f>IFERROR(__xludf.DUMMYFUNCTION("""COMPUTED_VALUE"""),403.79)</f>
        <v>403.79</v>
      </c>
      <c r="D575" s="3">
        <f>IFERROR(__xludf.DUMMYFUNCTION("""COMPUTED_VALUE"""),380.07)</f>
        <v>380.07</v>
      </c>
      <c r="E575" s="3">
        <f>IFERROR(__xludf.DUMMYFUNCTION("""COMPUTED_VALUE"""),403.31)</f>
        <v>403.31</v>
      </c>
      <c r="F575" s="3">
        <f>IFERROR(__xludf.DUMMYFUNCTION("""COMPUTED_VALUE"""),6.7580494E7)</f>
        <v>67580494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">
        <f>IFERROR(__xludf.DUMMYFUNCTION("""COMPUTED_VALUE"""),45671.66666666667)</f>
        <v>45671.66667</v>
      </c>
      <c r="B576" s="3">
        <f>IFERROR(__xludf.DUMMYFUNCTION("""COMPUTED_VALUE"""),414.34)</f>
        <v>414.34</v>
      </c>
      <c r="C576" s="3">
        <f>IFERROR(__xludf.DUMMYFUNCTION("""COMPUTED_VALUE"""),422.64)</f>
        <v>422.64</v>
      </c>
      <c r="D576" s="3">
        <f>IFERROR(__xludf.DUMMYFUNCTION("""COMPUTED_VALUE"""),394.54)</f>
        <v>394.54</v>
      </c>
      <c r="E576" s="3">
        <f>IFERROR(__xludf.DUMMYFUNCTION("""COMPUTED_VALUE"""),396.36)</f>
        <v>396.36</v>
      </c>
      <c r="F576" s="3">
        <f>IFERROR(__xludf.DUMMYFUNCTION("""COMPUTED_VALUE"""),8.4565022E7)</f>
        <v>84565022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">
        <f>IFERROR(__xludf.DUMMYFUNCTION("""COMPUTED_VALUE"""),45672.66666666667)</f>
        <v>45672.66667</v>
      </c>
      <c r="B577" s="3">
        <f>IFERROR(__xludf.DUMMYFUNCTION("""COMPUTED_VALUE"""),409.9)</f>
        <v>409.9</v>
      </c>
      <c r="C577" s="3">
        <f>IFERROR(__xludf.DUMMYFUNCTION("""COMPUTED_VALUE"""),429.8)</f>
        <v>429.8</v>
      </c>
      <c r="D577" s="3">
        <f>IFERROR(__xludf.DUMMYFUNCTION("""COMPUTED_VALUE"""),405.66)</f>
        <v>405.66</v>
      </c>
      <c r="E577" s="3">
        <f>IFERROR(__xludf.DUMMYFUNCTION("""COMPUTED_VALUE"""),428.22)</f>
        <v>428.22</v>
      </c>
      <c r="F577" s="3">
        <f>IFERROR(__xludf.DUMMYFUNCTION("""COMPUTED_VALUE"""),8.137546E7)</f>
        <v>81375460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">
        <f>IFERROR(__xludf.DUMMYFUNCTION("""COMPUTED_VALUE"""),45673.66666666667)</f>
        <v>45673.66667</v>
      </c>
      <c r="B578" s="3">
        <f>IFERROR(__xludf.DUMMYFUNCTION("""COMPUTED_VALUE"""),423.49)</f>
        <v>423.49</v>
      </c>
      <c r="C578" s="3">
        <f>IFERROR(__xludf.DUMMYFUNCTION("""COMPUTED_VALUE"""),424.0)</f>
        <v>424</v>
      </c>
      <c r="D578" s="3">
        <f>IFERROR(__xludf.DUMMYFUNCTION("""COMPUTED_VALUE"""),409.13)</f>
        <v>409.13</v>
      </c>
      <c r="E578" s="3">
        <f>IFERROR(__xludf.DUMMYFUNCTION("""COMPUTED_VALUE"""),413.82)</f>
        <v>413.82</v>
      </c>
      <c r="F578" s="3">
        <f>IFERROR(__xludf.DUMMYFUNCTION("""COMPUTED_VALUE"""),6.8335151E7)</f>
        <v>68335151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">
        <f>IFERROR(__xludf.DUMMYFUNCTION("""COMPUTED_VALUE"""),45674.66666666667)</f>
        <v>45674.66667</v>
      </c>
      <c r="B579" s="3">
        <f>IFERROR(__xludf.DUMMYFUNCTION("""COMPUTED_VALUE"""),421.5)</f>
        <v>421.5</v>
      </c>
      <c r="C579" s="3">
        <f>IFERROR(__xludf.DUMMYFUNCTION("""COMPUTED_VALUE"""),439.74)</f>
        <v>439.74</v>
      </c>
      <c r="D579" s="3">
        <f>IFERROR(__xludf.DUMMYFUNCTION("""COMPUTED_VALUE"""),419.75)</f>
        <v>419.75</v>
      </c>
      <c r="E579" s="3">
        <f>IFERROR(__xludf.DUMMYFUNCTION("""COMPUTED_VALUE"""),426.5)</f>
        <v>426.5</v>
      </c>
      <c r="F579" s="3">
        <f>IFERROR(__xludf.DUMMYFUNCTION("""COMPUTED_VALUE"""),9.4991429E7)</f>
        <v>94991429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">
        <f>IFERROR(__xludf.DUMMYFUNCTION("""COMPUTED_VALUE"""),45678.66666666667)</f>
        <v>45678.66667</v>
      </c>
      <c r="B580" s="3">
        <f>IFERROR(__xludf.DUMMYFUNCTION("""COMPUTED_VALUE"""),432.64)</f>
        <v>432.64</v>
      </c>
      <c r="C580" s="3">
        <f>IFERROR(__xludf.DUMMYFUNCTION("""COMPUTED_VALUE"""),433.2)</f>
        <v>433.2</v>
      </c>
      <c r="D580" s="3">
        <f>IFERROR(__xludf.DUMMYFUNCTION("""COMPUTED_VALUE"""),406.31)</f>
        <v>406.31</v>
      </c>
      <c r="E580" s="3">
        <f>IFERROR(__xludf.DUMMYFUNCTION("""COMPUTED_VALUE"""),424.07)</f>
        <v>424.07</v>
      </c>
      <c r="F580" s="3">
        <f>IFERROR(__xludf.DUMMYFUNCTION("""COMPUTED_VALUE"""),8.7320894E7)</f>
        <v>87320894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">
        <f>IFERROR(__xludf.DUMMYFUNCTION("""COMPUTED_VALUE"""),45679.66666666667)</f>
        <v>45679.66667</v>
      </c>
      <c r="B581" s="3">
        <f>IFERROR(__xludf.DUMMYFUNCTION("""COMPUTED_VALUE"""),416.81)</f>
        <v>416.81</v>
      </c>
      <c r="C581" s="3">
        <f>IFERROR(__xludf.DUMMYFUNCTION("""COMPUTED_VALUE"""),428.0)</f>
        <v>428</v>
      </c>
      <c r="D581" s="3">
        <f>IFERROR(__xludf.DUMMYFUNCTION("""COMPUTED_VALUE"""),414.59)</f>
        <v>414.59</v>
      </c>
      <c r="E581" s="3">
        <f>IFERROR(__xludf.DUMMYFUNCTION("""COMPUTED_VALUE"""),415.11)</f>
        <v>415.11</v>
      </c>
      <c r="F581" s="3">
        <f>IFERROR(__xludf.DUMMYFUNCTION("""COMPUTED_VALUE"""),6.0963342E7)</f>
        <v>60963342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">
        <f>IFERROR(__xludf.DUMMYFUNCTION("""COMPUTED_VALUE"""),45680.66666666667)</f>
        <v>45680.66667</v>
      </c>
      <c r="B582" s="3">
        <f>IFERROR(__xludf.DUMMYFUNCTION("""COMPUTED_VALUE"""),416.06)</f>
        <v>416.06</v>
      </c>
      <c r="C582" s="3">
        <f>IFERROR(__xludf.DUMMYFUNCTION("""COMPUTED_VALUE"""),420.73)</f>
        <v>420.73</v>
      </c>
      <c r="D582" s="3">
        <f>IFERROR(__xludf.DUMMYFUNCTION("""COMPUTED_VALUE"""),408.95)</f>
        <v>408.95</v>
      </c>
      <c r="E582" s="3">
        <f>IFERROR(__xludf.DUMMYFUNCTION("""COMPUTED_VALUE"""),412.38)</f>
        <v>412.38</v>
      </c>
      <c r="F582" s="3">
        <f>IFERROR(__xludf.DUMMYFUNCTION("""COMPUTED_VALUE"""),5.0690592E7)</f>
        <v>50690592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">
        <f>IFERROR(__xludf.DUMMYFUNCTION("""COMPUTED_VALUE"""),45681.66666666667)</f>
        <v>45681.66667</v>
      </c>
      <c r="B583" s="3">
        <f>IFERROR(__xludf.DUMMYFUNCTION("""COMPUTED_VALUE"""),414.45)</f>
        <v>414.45</v>
      </c>
      <c r="C583" s="3">
        <f>IFERROR(__xludf.DUMMYFUNCTION("""COMPUTED_VALUE"""),418.88)</f>
        <v>418.88</v>
      </c>
      <c r="D583" s="3">
        <f>IFERROR(__xludf.DUMMYFUNCTION("""COMPUTED_VALUE"""),405.78)</f>
        <v>405.78</v>
      </c>
      <c r="E583" s="3">
        <f>IFERROR(__xludf.DUMMYFUNCTION("""COMPUTED_VALUE"""),406.58)</f>
        <v>406.58</v>
      </c>
      <c r="F583" s="3">
        <f>IFERROR(__xludf.DUMMYFUNCTION("""COMPUTED_VALUE"""),5.6427149E7)</f>
        <v>56427149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">
        <f>IFERROR(__xludf.DUMMYFUNCTION("""COMPUTED_VALUE"""),45684.66666666667)</f>
        <v>45684.66667</v>
      </c>
      <c r="B584" s="3">
        <f>IFERROR(__xludf.DUMMYFUNCTION("""COMPUTED_VALUE"""),394.8)</f>
        <v>394.8</v>
      </c>
      <c r="C584" s="3">
        <f>IFERROR(__xludf.DUMMYFUNCTION("""COMPUTED_VALUE"""),406.69)</f>
        <v>406.69</v>
      </c>
      <c r="D584" s="3">
        <f>IFERROR(__xludf.DUMMYFUNCTION("""COMPUTED_VALUE"""),389.0)</f>
        <v>389</v>
      </c>
      <c r="E584" s="3">
        <f>IFERROR(__xludf.DUMMYFUNCTION("""COMPUTED_VALUE"""),397.15)</f>
        <v>397.15</v>
      </c>
      <c r="F584" s="3">
        <f>IFERROR(__xludf.DUMMYFUNCTION("""COMPUTED_VALUE"""),5.812551E7)</f>
        <v>58125510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">
        <f>IFERROR(__xludf.DUMMYFUNCTION("""COMPUTED_VALUE"""),45685.66666666667)</f>
        <v>45685.66667</v>
      </c>
      <c r="B585" s="3">
        <f>IFERROR(__xludf.DUMMYFUNCTION("""COMPUTED_VALUE"""),396.91)</f>
        <v>396.91</v>
      </c>
      <c r="C585" s="3">
        <f>IFERROR(__xludf.DUMMYFUNCTION("""COMPUTED_VALUE"""),400.59)</f>
        <v>400.59</v>
      </c>
      <c r="D585" s="3">
        <f>IFERROR(__xludf.DUMMYFUNCTION("""COMPUTED_VALUE"""),386.5)</f>
        <v>386.5</v>
      </c>
      <c r="E585" s="3">
        <f>IFERROR(__xludf.DUMMYFUNCTION("""COMPUTED_VALUE"""),398.09)</f>
        <v>398.09</v>
      </c>
      <c r="F585" s="3">
        <f>IFERROR(__xludf.DUMMYFUNCTION("""COMPUTED_VALUE"""),4.8910676E7)</f>
        <v>48910676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">
        <f>IFERROR(__xludf.DUMMYFUNCTION("""COMPUTED_VALUE"""),45686.66666666667)</f>
        <v>45686.66667</v>
      </c>
      <c r="B586" s="3">
        <f>IFERROR(__xludf.DUMMYFUNCTION("""COMPUTED_VALUE"""),395.21)</f>
        <v>395.21</v>
      </c>
      <c r="C586" s="3">
        <f>IFERROR(__xludf.DUMMYFUNCTION("""COMPUTED_VALUE"""),398.59)</f>
        <v>398.59</v>
      </c>
      <c r="D586" s="3">
        <f>IFERROR(__xludf.DUMMYFUNCTION("""COMPUTED_VALUE"""),384.48)</f>
        <v>384.48</v>
      </c>
      <c r="E586" s="3">
        <f>IFERROR(__xludf.DUMMYFUNCTION("""COMPUTED_VALUE"""),389.1)</f>
        <v>389.1</v>
      </c>
      <c r="F586" s="3">
        <f>IFERROR(__xludf.DUMMYFUNCTION("""COMPUTED_VALUE"""),6.8033648E7)</f>
        <v>68033648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">
        <f>IFERROR(__xludf.DUMMYFUNCTION("""COMPUTED_VALUE"""),45687.66666666667)</f>
        <v>45687.66667</v>
      </c>
      <c r="B587" s="3">
        <f>IFERROR(__xludf.DUMMYFUNCTION("""COMPUTED_VALUE"""),410.78)</f>
        <v>410.78</v>
      </c>
      <c r="C587" s="3">
        <f>IFERROR(__xludf.DUMMYFUNCTION("""COMPUTED_VALUE"""),412.5)</f>
        <v>412.5</v>
      </c>
      <c r="D587" s="3">
        <f>IFERROR(__xludf.DUMMYFUNCTION("""COMPUTED_VALUE"""),384.41)</f>
        <v>384.41</v>
      </c>
      <c r="E587" s="3">
        <f>IFERROR(__xludf.DUMMYFUNCTION("""COMPUTED_VALUE"""),400.28)</f>
        <v>400.28</v>
      </c>
      <c r="F587" s="3">
        <f>IFERROR(__xludf.DUMMYFUNCTION("""COMPUTED_VALUE"""),9.8092879E7)</f>
        <v>98092879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">
        <f>IFERROR(__xludf.DUMMYFUNCTION("""COMPUTED_VALUE"""),45688.66666666667)</f>
        <v>45688.66667</v>
      </c>
      <c r="B588" s="3">
        <f>IFERROR(__xludf.DUMMYFUNCTION("""COMPUTED_VALUE"""),401.53)</f>
        <v>401.53</v>
      </c>
      <c r="C588" s="3">
        <f>IFERROR(__xludf.DUMMYFUNCTION("""COMPUTED_VALUE"""),419.99)</f>
        <v>419.99</v>
      </c>
      <c r="D588" s="3">
        <f>IFERROR(__xludf.DUMMYFUNCTION("""COMPUTED_VALUE"""),401.34)</f>
        <v>401.34</v>
      </c>
      <c r="E588" s="3">
        <f>IFERROR(__xludf.DUMMYFUNCTION("""COMPUTED_VALUE"""),404.6)</f>
        <v>404.6</v>
      </c>
      <c r="F588" s="3">
        <f>IFERROR(__xludf.DUMMYFUNCTION("""COMPUTED_VALUE"""),8.3568219E7)</f>
        <v>83568219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">
        <f>IFERROR(__xludf.DUMMYFUNCTION("""COMPUTED_VALUE"""),45691.66666666667)</f>
        <v>45691.66667</v>
      </c>
      <c r="B589" s="3">
        <f>IFERROR(__xludf.DUMMYFUNCTION("""COMPUTED_VALUE"""),386.68)</f>
        <v>386.68</v>
      </c>
      <c r="C589" s="3">
        <f>IFERROR(__xludf.DUMMYFUNCTION("""COMPUTED_VALUE"""),389.17)</f>
        <v>389.17</v>
      </c>
      <c r="D589" s="3">
        <f>IFERROR(__xludf.DUMMYFUNCTION("""COMPUTED_VALUE"""),374.36)</f>
        <v>374.36</v>
      </c>
      <c r="E589" s="3">
        <f>IFERROR(__xludf.DUMMYFUNCTION("""COMPUTED_VALUE"""),383.68)</f>
        <v>383.68</v>
      </c>
      <c r="F589" s="3">
        <f>IFERROR(__xludf.DUMMYFUNCTION("""COMPUTED_VALUE"""),9.3732122E7)</f>
        <v>93732122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">
        <f>IFERROR(__xludf.DUMMYFUNCTION("""COMPUTED_VALUE"""),45692.66666666667)</f>
        <v>45692.66667</v>
      </c>
      <c r="B590" s="3">
        <f>IFERROR(__xludf.DUMMYFUNCTION("""COMPUTED_VALUE"""),382.63)</f>
        <v>382.63</v>
      </c>
      <c r="C590" s="3">
        <f>IFERROR(__xludf.DUMMYFUNCTION("""COMPUTED_VALUE"""),394.0)</f>
        <v>394</v>
      </c>
      <c r="D590" s="3">
        <f>IFERROR(__xludf.DUMMYFUNCTION("""COMPUTED_VALUE"""),381.4)</f>
        <v>381.4</v>
      </c>
      <c r="E590" s="3">
        <f>IFERROR(__xludf.DUMMYFUNCTION("""COMPUTED_VALUE"""),392.21)</f>
        <v>392.21</v>
      </c>
      <c r="F590" s="3">
        <f>IFERROR(__xludf.DUMMYFUNCTION("""COMPUTED_VALUE"""),5.7072235E7)</f>
        <v>57072235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">
        <f>IFERROR(__xludf.DUMMYFUNCTION("""COMPUTED_VALUE"""),45693.66666666667)</f>
        <v>45693.66667</v>
      </c>
      <c r="B591" s="3">
        <f>IFERROR(__xludf.DUMMYFUNCTION("""COMPUTED_VALUE"""),387.51)</f>
        <v>387.51</v>
      </c>
      <c r="C591" s="3">
        <f>IFERROR(__xludf.DUMMYFUNCTION("""COMPUTED_VALUE"""),388.39)</f>
        <v>388.39</v>
      </c>
      <c r="D591" s="3">
        <f>IFERROR(__xludf.DUMMYFUNCTION("""COMPUTED_VALUE"""),375.53)</f>
        <v>375.53</v>
      </c>
      <c r="E591" s="3">
        <f>IFERROR(__xludf.DUMMYFUNCTION("""COMPUTED_VALUE"""),378.17)</f>
        <v>378.17</v>
      </c>
      <c r="F591" s="3">
        <f>IFERROR(__xludf.DUMMYFUNCTION("""COMPUTED_VALUE"""),5.7614721E7)</f>
        <v>57614721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">
        <f>IFERROR(__xludf.DUMMYFUNCTION("""COMPUTED_VALUE"""),45694.66666666667)</f>
        <v>45694.66667</v>
      </c>
      <c r="B592" s="3">
        <f>IFERROR(__xludf.DUMMYFUNCTION("""COMPUTED_VALUE"""),373.03)</f>
        <v>373.03</v>
      </c>
      <c r="C592" s="3">
        <f>IFERROR(__xludf.DUMMYFUNCTION("""COMPUTED_VALUE"""),375.4)</f>
        <v>375.4</v>
      </c>
      <c r="D592" s="3">
        <f>IFERROR(__xludf.DUMMYFUNCTION("""COMPUTED_VALUE"""),363.18)</f>
        <v>363.18</v>
      </c>
      <c r="E592" s="3">
        <f>IFERROR(__xludf.DUMMYFUNCTION("""COMPUTED_VALUE"""),374.32)</f>
        <v>374.32</v>
      </c>
      <c r="F592" s="3">
        <f>IFERROR(__xludf.DUMMYFUNCTION("""COMPUTED_VALUE"""),7.791823E7)</f>
        <v>77918230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">
        <f>IFERROR(__xludf.DUMMYFUNCTION("""COMPUTED_VALUE"""),45695.66666666667)</f>
        <v>45695.66667</v>
      </c>
      <c r="B593" s="3">
        <f>IFERROR(__xludf.DUMMYFUNCTION("""COMPUTED_VALUE"""),370.19)</f>
        <v>370.19</v>
      </c>
      <c r="C593" s="3">
        <f>IFERROR(__xludf.DUMMYFUNCTION("""COMPUTED_VALUE"""),380.55)</f>
        <v>380.55</v>
      </c>
      <c r="D593" s="3">
        <f>IFERROR(__xludf.DUMMYFUNCTION("""COMPUTED_VALUE"""),360.34)</f>
        <v>360.34</v>
      </c>
      <c r="E593" s="3">
        <f>IFERROR(__xludf.DUMMYFUNCTION("""COMPUTED_VALUE"""),361.62)</f>
        <v>361.62</v>
      </c>
      <c r="F593" s="3">
        <f>IFERROR(__xludf.DUMMYFUNCTION("""COMPUTED_VALUE"""),7.0298258E7)</f>
        <v>70298258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">
        <f>IFERROR(__xludf.DUMMYFUNCTION("""COMPUTED_VALUE"""),45698.66666666667)</f>
        <v>45698.66667</v>
      </c>
      <c r="B594" s="3">
        <f>IFERROR(__xludf.DUMMYFUNCTION("""COMPUTED_VALUE"""),356.21)</f>
        <v>356.21</v>
      </c>
      <c r="C594" s="3">
        <f>IFERROR(__xludf.DUMMYFUNCTION("""COMPUTED_VALUE"""),362.7)</f>
        <v>362.7</v>
      </c>
      <c r="D594" s="3">
        <f>IFERROR(__xludf.DUMMYFUNCTION("""COMPUTED_VALUE"""),350.51)</f>
        <v>350.51</v>
      </c>
      <c r="E594" s="3">
        <f>IFERROR(__xludf.DUMMYFUNCTION("""COMPUTED_VALUE"""),350.73)</f>
        <v>350.73</v>
      </c>
      <c r="F594" s="3">
        <f>IFERROR(__xludf.DUMMYFUNCTION("""COMPUTED_VALUE"""),7.7514903E7)</f>
        <v>77514903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">
        <f>IFERROR(__xludf.DUMMYFUNCTION("""COMPUTED_VALUE"""),45699.66666666667)</f>
        <v>45699.66667</v>
      </c>
      <c r="B595" s="3">
        <f>IFERROR(__xludf.DUMMYFUNCTION("""COMPUTED_VALUE"""),345.8)</f>
        <v>345.8</v>
      </c>
      <c r="C595" s="3">
        <f>IFERROR(__xludf.DUMMYFUNCTION("""COMPUTED_VALUE"""),349.37)</f>
        <v>349.37</v>
      </c>
      <c r="D595" s="3">
        <f>IFERROR(__xludf.DUMMYFUNCTION("""COMPUTED_VALUE"""),325.1)</f>
        <v>325.1</v>
      </c>
      <c r="E595" s="3">
        <f>IFERROR(__xludf.DUMMYFUNCTION("""COMPUTED_VALUE"""),328.5)</f>
        <v>328.5</v>
      </c>
      <c r="F595" s="3">
        <f>IFERROR(__xludf.DUMMYFUNCTION("""COMPUTED_VALUE"""),1.185434E8)</f>
        <v>118543400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">
        <f>IFERROR(__xludf.DUMMYFUNCTION("""COMPUTED_VALUE"""),45700.66666666667)</f>
        <v>45700.66667</v>
      </c>
      <c r="B596" s="3">
        <f>IFERROR(__xludf.DUMMYFUNCTION("""COMPUTED_VALUE"""),329.94)</f>
        <v>329.94</v>
      </c>
      <c r="C596" s="3">
        <f>IFERROR(__xludf.DUMMYFUNCTION("""COMPUTED_VALUE"""),346.4)</f>
        <v>346.4</v>
      </c>
      <c r="D596" s="3">
        <f>IFERROR(__xludf.DUMMYFUNCTION("""COMPUTED_VALUE"""),329.12)</f>
        <v>329.12</v>
      </c>
      <c r="E596" s="3">
        <f>IFERROR(__xludf.DUMMYFUNCTION("""COMPUTED_VALUE"""),336.51)</f>
        <v>336.51</v>
      </c>
      <c r="F596" s="3">
        <f>IFERROR(__xludf.DUMMYFUNCTION("""COMPUTED_VALUE"""),1.05382729E8)</f>
        <v>105382729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">
        <f>IFERROR(__xludf.DUMMYFUNCTION("""COMPUTED_VALUE"""),45701.66666666667)</f>
        <v>45701.66667</v>
      </c>
      <c r="B597" s="3">
        <f>IFERROR(__xludf.DUMMYFUNCTION("""COMPUTED_VALUE"""),345.0)</f>
        <v>345</v>
      </c>
      <c r="C597" s="3">
        <f>IFERROR(__xludf.DUMMYFUNCTION("""COMPUTED_VALUE"""),358.69)</f>
        <v>358.69</v>
      </c>
      <c r="D597" s="3">
        <f>IFERROR(__xludf.DUMMYFUNCTION("""COMPUTED_VALUE"""),342.85)</f>
        <v>342.85</v>
      </c>
      <c r="E597" s="3">
        <f>IFERROR(__xludf.DUMMYFUNCTION("""COMPUTED_VALUE"""),355.94)</f>
        <v>355.94</v>
      </c>
      <c r="F597" s="3">
        <f>IFERROR(__xludf.DUMMYFUNCTION("""COMPUTED_VALUE"""),8.9441519E7)</f>
        <v>89441519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">
        <f>IFERROR(__xludf.DUMMYFUNCTION("""COMPUTED_VALUE"""),45702.66666666667)</f>
        <v>45702.66667</v>
      </c>
      <c r="B598" s="3">
        <f>IFERROR(__xludf.DUMMYFUNCTION("""COMPUTED_VALUE"""),360.62)</f>
        <v>360.62</v>
      </c>
      <c r="C598" s="3">
        <f>IFERROR(__xludf.DUMMYFUNCTION("""COMPUTED_VALUE"""),362.0)</f>
        <v>362</v>
      </c>
      <c r="D598" s="3">
        <f>IFERROR(__xludf.DUMMYFUNCTION("""COMPUTED_VALUE"""),347.5)</f>
        <v>347.5</v>
      </c>
      <c r="E598" s="3">
        <f>IFERROR(__xludf.DUMMYFUNCTION("""COMPUTED_VALUE"""),355.84)</f>
        <v>355.84</v>
      </c>
      <c r="F598" s="3">
        <f>IFERROR(__xludf.DUMMYFUNCTION("""COMPUTED_VALUE"""),6.8277279E7)</f>
        <v>68277279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">
        <f>IFERROR(__xludf.DUMMYFUNCTION("""COMPUTED_VALUE"""),45706.66666666667)</f>
        <v>45706.66667</v>
      </c>
      <c r="B599" s="3">
        <f>IFERROR(__xludf.DUMMYFUNCTION("""COMPUTED_VALUE"""),355.01)</f>
        <v>355.01</v>
      </c>
      <c r="C599" s="3">
        <f>IFERROR(__xludf.DUMMYFUNCTION("""COMPUTED_VALUE"""),359.1)</f>
        <v>359.1</v>
      </c>
      <c r="D599" s="3">
        <f>IFERROR(__xludf.DUMMYFUNCTION("""COMPUTED_VALUE"""),350.02)</f>
        <v>350.02</v>
      </c>
      <c r="E599" s="3">
        <f>IFERROR(__xludf.DUMMYFUNCTION("""COMPUTED_VALUE"""),354.11)</f>
        <v>354.11</v>
      </c>
      <c r="F599" s="3">
        <f>IFERROR(__xludf.DUMMYFUNCTION("""COMPUTED_VALUE"""),5.1631702E7)</f>
        <v>51631702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">
        <f>IFERROR(__xludf.DUMMYFUNCTION("""COMPUTED_VALUE"""),45707.66666666667)</f>
        <v>45707.66667</v>
      </c>
      <c r="B600" s="3">
        <f>IFERROR(__xludf.DUMMYFUNCTION("""COMPUTED_VALUE"""),354.0)</f>
        <v>354</v>
      </c>
      <c r="C600" s="3">
        <f>IFERROR(__xludf.DUMMYFUNCTION("""COMPUTED_VALUE"""),367.34)</f>
        <v>367.34</v>
      </c>
      <c r="D600" s="3">
        <f>IFERROR(__xludf.DUMMYFUNCTION("""COMPUTED_VALUE"""),353.67)</f>
        <v>353.67</v>
      </c>
      <c r="E600" s="3">
        <f>IFERROR(__xludf.DUMMYFUNCTION("""COMPUTED_VALUE"""),360.56)</f>
        <v>360.56</v>
      </c>
      <c r="F600" s="3">
        <f>IFERROR(__xludf.DUMMYFUNCTION("""COMPUTED_VALUE"""),6.7094374E7)</f>
        <v>67094374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">
        <f>IFERROR(__xludf.DUMMYFUNCTION("""COMPUTED_VALUE"""),45708.66666666667)</f>
        <v>45708.66667</v>
      </c>
      <c r="B601" s="3">
        <f>IFERROR(__xludf.DUMMYFUNCTION("""COMPUTED_VALUE"""),361.51)</f>
        <v>361.51</v>
      </c>
      <c r="C601" s="3">
        <f>IFERROR(__xludf.DUMMYFUNCTION("""COMPUTED_VALUE"""),362.3)</f>
        <v>362.3</v>
      </c>
      <c r="D601" s="3">
        <f>IFERROR(__xludf.DUMMYFUNCTION("""COMPUTED_VALUE"""),348.0)</f>
        <v>348</v>
      </c>
      <c r="E601" s="3">
        <f>IFERROR(__xludf.DUMMYFUNCTION("""COMPUTED_VALUE"""),354.4)</f>
        <v>354.4</v>
      </c>
      <c r="F601" s="3">
        <f>IFERROR(__xludf.DUMMYFUNCTION("""COMPUTED_VALUE"""),4.5965354E7)</f>
        <v>45965354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">
        <f>IFERROR(__xludf.DUMMYFUNCTION("""COMPUTED_VALUE"""),45709.66666666667)</f>
        <v>45709.66667</v>
      </c>
      <c r="B602" s="3">
        <f>IFERROR(__xludf.DUMMYFUNCTION("""COMPUTED_VALUE"""),353.44)</f>
        <v>353.44</v>
      </c>
      <c r="C602" s="3">
        <f>IFERROR(__xludf.DUMMYFUNCTION("""COMPUTED_VALUE"""),354.98)</f>
        <v>354.98</v>
      </c>
      <c r="D602" s="3">
        <f>IFERROR(__xludf.DUMMYFUNCTION("""COMPUTED_VALUE"""),334.42)</f>
        <v>334.42</v>
      </c>
      <c r="E602" s="3">
        <f>IFERROR(__xludf.DUMMYFUNCTION("""COMPUTED_VALUE"""),337.8)</f>
        <v>337.8</v>
      </c>
      <c r="F602" s="3">
        <f>IFERROR(__xludf.DUMMYFUNCTION("""COMPUTED_VALUE"""),7.4058648E7)</f>
        <v>74058648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">
        <f>IFERROR(__xludf.DUMMYFUNCTION("""COMPUTED_VALUE"""),45712.66666666667)</f>
        <v>45712.66667</v>
      </c>
      <c r="B603" s="3">
        <f>IFERROR(__xludf.DUMMYFUNCTION("""COMPUTED_VALUE"""),338.14)</f>
        <v>338.14</v>
      </c>
      <c r="C603" s="3">
        <f>IFERROR(__xludf.DUMMYFUNCTION("""COMPUTED_VALUE"""),342.4)</f>
        <v>342.4</v>
      </c>
      <c r="D603" s="3">
        <f>IFERROR(__xludf.DUMMYFUNCTION("""COMPUTED_VALUE"""),324.7)</f>
        <v>324.7</v>
      </c>
      <c r="E603" s="3">
        <f>IFERROR(__xludf.DUMMYFUNCTION("""COMPUTED_VALUE"""),330.53)</f>
        <v>330.53</v>
      </c>
      <c r="F603" s="3">
        <f>IFERROR(__xludf.DUMMYFUNCTION("""COMPUTED_VALUE"""),7.6052321E7)</f>
        <v>76052321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">
        <f>IFERROR(__xludf.DUMMYFUNCTION("""COMPUTED_VALUE"""),45713.66666666667)</f>
        <v>45713.66667</v>
      </c>
      <c r="B604" s="3">
        <f>IFERROR(__xludf.DUMMYFUNCTION("""COMPUTED_VALUE"""),327.02)</f>
        <v>327.02</v>
      </c>
      <c r="C604" s="3">
        <f>IFERROR(__xludf.DUMMYFUNCTION("""COMPUTED_VALUE"""),328.89)</f>
        <v>328.89</v>
      </c>
      <c r="D604" s="3">
        <f>IFERROR(__xludf.DUMMYFUNCTION("""COMPUTED_VALUE"""),297.25)</f>
        <v>297.25</v>
      </c>
      <c r="E604" s="3">
        <f>IFERROR(__xludf.DUMMYFUNCTION("""COMPUTED_VALUE"""),302.8)</f>
        <v>302.8</v>
      </c>
      <c r="F604" s="3">
        <f>IFERROR(__xludf.DUMMYFUNCTION("""COMPUTED_VALUE"""),1.34228777E8)</f>
        <v>134228777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">
        <f>IFERROR(__xludf.DUMMYFUNCTION("""COMPUTED_VALUE"""),45714.66666666667)</f>
        <v>45714.66667</v>
      </c>
      <c r="B605" s="3">
        <f>IFERROR(__xludf.DUMMYFUNCTION("""COMPUTED_VALUE"""),303.71)</f>
        <v>303.71</v>
      </c>
      <c r="C605" s="3">
        <f>IFERROR(__xludf.DUMMYFUNCTION("""COMPUTED_VALUE"""),309.0)</f>
        <v>309</v>
      </c>
      <c r="D605" s="3">
        <f>IFERROR(__xludf.DUMMYFUNCTION("""COMPUTED_VALUE"""),288.04)</f>
        <v>288.04</v>
      </c>
      <c r="E605" s="3">
        <f>IFERROR(__xludf.DUMMYFUNCTION("""COMPUTED_VALUE"""),290.8)</f>
        <v>290.8</v>
      </c>
      <c r="F605" s="3">
        <f>IFERROR(__xludf.DUMMYFUNCTION("""COMPUTED_VALUE"""),1.00118276E8)</f>
        <v>100118276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">
        <f>IFERROR(__xludf.DUMMYFUNCTION("""COMPUTED_VALUE"""),45715.66666666667)</f>
        <v>45715.66667</v>
      </c>
      <c r="B606" s="3">
        <f>IFERROR(__xludf.DUMMYFUNCTION("""COMPUTED_VALUE"""),291.16)</f>
        <v>291.16</v>
      </c>
      <c r="C606" s="3">
        <f>IFERROR(__xludf.DUMMYFUNCTION("""COMPUTED_VALUE"""),297.23)</f>
        <v>297.23</v>
      </c>
      <c r="D606" s="3">
        <f>IFERROR(__xludf.DUMMYFUNCTION("""COMPUTED_VALUE"""),280.88)</f>
        <v>280.88</v>
      </c>
      <c r="E606" s="3">
        <f>IFERROR(__xludf.DUMMYFUNCTION("""COMPUTED_VALUE"""),281.95)</f>
        <v>281.95</v>
      </c>
      <c r="F606" s="3">
        <f>IFERROR(__xludf.DUMMYFUNCTION("""COMPUTED_VALUE"""),1.01748197E8)</f>
        <v>101748197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">
        <f>IFERROR(__xludf.DUMMYFUNCTION("""COMPUTED_VALUE"""),45716.66666666667)</f>
        <v>45716.66667</v>
      </c>
      <c r="B607" s="3">
        <f>IFERROR(__xludf.DUMMYFUNCTION("""COMPUTED_VALUE"""),279.5)</f>
        <v>279.5</v>
      </c>
      <c r="C607" s="3">
        <f>IFERROR(__xludf.DUMMYFUNCTION("""COMPUTED_VALUE"""),293.88)</f>
        <v>293.88</v>
      </c>
      <c r="D607" s="3">
        <f>IFERROR(__xludf.DUMMYFUNCTION("""COMPUTED_VALUE"""),273.6)</f>
        <v>273.6</v>
      </c>
      <c r="E607" s="3">
        <f>IFERROR(__xludf.DUMMYFUNCTION("""COMPUTED_VALUE"""),292.98)</f>
        <v>292.98</v>
      </c>
      <c r="F607" s="3">
        <f>IFERROR(__xludf.DUMMYFUNCTION("""COMPUTED_VALUE"""),1.15696968E8)</f>
        <v>115696968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">
        <f>IFERROR(__xludf.DUMMYFUNCTION("""COMPUTED_VALUE"""),45719.66666666667)</f>
        <v>45719.66667</v>
      </c>
      <c r="B608" s="3">
        <f>IFERROR(__xludf.DUMMYFUNCTION("""COMPUTED_VALUE"""),300.34)</f>
        <v>300.34</v>
      </c>
      <c r="C608" s="3">
        <f>IFERROR(__xludf.DUMMYFUNCTION("""COMPUTED_VALUE"""),303.94)</f>
        <v>303.94</v>
      </c>
      <c r="D608" s="3">
        <f>IFERROR(__xludf.DUMMYFUNCTION("""COMPUTED_VALUE"""),277.3)</f>
        <v>277.3</v>
      </c>
      <c r="E608" s="3">
        <f>IFERROR(__xludf.DUMMYFUNCTION("""COMPUTED_VALUE"""),284.65)</f>
        <v>284.65</v>
      </c>
      <c r="F608" s="3">
        <f>IFERROR(__xludf.DUMMYFUNCTION("""COMPUTED_VALUE"""),1.15551414E8)</f>
        <v>115551414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">
        <f>IFERROR(__xludf.DUMMYFUNCTION("""COMPUTED_VALUE"""),45720.66666666667)</f>
        <v>45720.66667</v>
      </c>
      <c r="B609" s="3">
        <f>IFERROR(__xludf.DUMMYFUNCTION("""COMPUTED_VALUE"""),270.93)</f>
        <v>270.93</v>
      </c>
      <c r="C609" s="3">
        <f>IFERROR(__xludf.DUMMYFUNCTION("""COMPUTED_VALUE"""),284.35)</f>
        <v>284.35</v>
      </c>
      <c r="D609" s="3">
        <f>IFERROR(__xludf.DUMMYFUNCTION("""COMPUTED_VALUE"""),261.84)</f>
        <v>261.84</v>
      </c>
      <c r="E609" s="3">
        <f>IFERROR(__xludf.DUMMYFUNCTION("""COMPUTED_VALUE"""),272.04)</f>
        <v>272.04</v>
      </c>
      <c r="F609" s="3">
        <f>IFERROR(__xludf.DUMMYFUNCTION("""COMPUTED_VALUE"""),1.26706623E8)</f>
        <v>126706623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">
        <f>IFERROR(__xludf.DUMMYFUNCTION("""COMPUTED_VALUE"""),45721.66666666667)</f>
        <v>45721.66667</v>
      </c>
      <c r="B610" s="3">
        <f>IFERROR(__xludf.DUMMYFUNCTION("""COMPUTED_VALUE"""),272.92)</f>
        <v>272.92</v>
      </c>
      <c r="C610" s="3">
        <f>IFERROR(__xludf.DUMMYFUNCTION("""COMPUTED_VALUE"""),279.55)</f>
        <v>279.55</v>
      </c>
      <c r="D610" s="3">
        <f>IFERROR(__xludf.DUMMYFUNCTION("""COMPUTED_VALUE"""),267.71)</f>
        <v>267.71</v>
      </c>
      <c r="E610" s="3">
        <f>IFERROR(__xludf.DUMMYFUNCTION("""COMPUTED_VALUE"""),279.1)</f>
        <v>279.1</v>
      </c>
      <c r="F610" s="3">
        <f>IFERROR(__xludf.DUMMYFUNCTION("""COMPUTED_VALUE"""),9.4042913E7)</f>
        <v>94042913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">
        <f>IFERROR(__xludf.DUMMYFUNCTION("""COMPUTED_VALUE"""),45722.66666666667)</f>
        <v>45722.66667</v>
      </c>
      <c r="B611" s="3">
        <f>IFERROR(__xludf.DUMMYFUNCTION("""COMPUTED_VALUE"""),272.06)</f>
        <v>272.06</v>
      </c>
      <c r="C611" s="3">
        <f>IFERROR(__xludf.DUMMYFUNCTION("""COMPUTED_VALUE"""),272.65)</f>
        <v>272.65</v>
      </c>
      <c r="D611" s="3">
        <f>IFERROR(__xludf.DUMMYFUNCTION("""COMPUTED_VALUE"""),260.02)</f>
        <v>260.02</v>
      </c>
      <c r="E611" s="3">
        <f>IFERROR(__xludf.DUMMYFUNCTION("""COMPUTED_VALUE"""),263.45)</f>
        <v>263.45</v>
      </c>
      <c r="F611" s="3">
        <f>IFERROR(__xludf.DUMMYFUNCTION("""COMPUTED_VALUE"""),9.8451566E7)</f>
        <v>98451566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">
        <f>IFERROR(__xludf.DUMMYFUNCTION("""COMPUTED_VALUE"""),45723.66666666667)</f>
        <v>45723.66667</v>
      </c>
      <c r="B612" s="3">
        <f>IFERROR(__xludf.DUMMYFUNCTION("""COMPUTED_VALUE"""),259.32)</f>
        <v>259.32</v>
      </c>
      <c r="C612" s="3">
        <f>IFERROR(__xludf.DUMMYFUNCTION("""COMPUTED_VALUE"""),266.25)</f>
        <v>266.25</v>
      </c>
      <c r="D612" s="3">
        <f>IFERROR(__xludf.DUMMYFUNCTION("""COMPUTED_VALUE"""),250.73)</f>
        <v>250.73</v>
      </c>
      <c r="E612" s="3">
        <f>IFERROR(__xludf.DUMMYFUNCTION("""COMPUTED_VALUE"""),262.67)</f>
        <v>262.67</v>
      </c>
      <c r="F612" s="3">
        <f>IFERROR(__xludf.DUMMYFUNCTION("""COMPUTED_VALUE"""),1.0236964E8)</f>
        <v>102369640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">
        <f>IFERROR(__xludf.DUMMYFUNCTION("""COMPUTED_VALUE"""),45726.66666666667)</f>
        <v>45726.66667</v>
      </c>
      <c r="B613" s="3">
        <f>IFERROR(__xludf.DUMMYFUNCTION("""COMPUTED_VALUE"""),252.54)</f>
        <v>252.54</v>
      </c>
      <c r="C613" s="3">
        <f>IFERROR(__xludf.DUMMYFUNCTION("""COMPUTED_VALUE"""),253.37)</f>
        <v>253.37</v>
      </c>
      <c r="D613" s="3">
        <f>IFERROR(__xludf.DUMMYFUNCTION("""COMPUTED_VALUE"""),220.0)</f>
        <v>220</v>
      </c>
      <c r="E613" s="3">
        <f>IFERROR(__xludf.DUMMYFUNCTION("""COMPUTED_VALUE"""),222.15)</f>
        <v>222.15</v>
      </c>
      <c r="F613" s="3">
        <f>IFERROR(__xludf.DUMMYFUNCTION("""COMPUTED_VALUE"""),1.89076948E8)</f>
        <v>189076948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">
        <f>IFERROR(__xludf.DUMMYFUNCTION("""COMPUTED_VALUE"""),45727.66666666667)</f>
        <v>45727.66667</v>
      </c>
      <c r="B614" s="3">
        <f>IFERROR(__xludf.DUMMYFUNCTION("""COMPUTED_VALUE"""),225.31)</f>
        <v>225.31</v>
      </c>
      <c r="C614" s="3">
        <f>IFERROR(__xludf.DUMMYFUNCTION("""COMPUTED_VALUE"""),237.06)</f>
        <v>237.06</v>
      </c>
      <c r="D614" s="3">
        <f>IFERROR(__xludf.DUMMYFUNCTION("""COMPUTED_VALUE"""),217.02)</f>
        <v>217.02</v>
      </c>
      <c r="E614" s="3">
        <f>IFERROR(__xludf.DUMMYFUNCTION("""COMPUTED_VALUE"""),230.58)</f>
        <v>230.58</v>
      </c>
      <c r="F614" s="3">
        <f>IFERROR(__xludf.DUMMYFUNCTION("""COMPUTED_VALUE"""),1.74896415E8)</f>
        <v>174896415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">
        <f>IFERROR(__xludf.DUMMYFUNCTION("""COMPUTED_VALUE"""),45728.66666666667)</f>
        <v>45728.66667</v>
      </c>
      <c r="B615" s="3">
        <f>IFERROR(__xludf.DUMMYFUNCTION("""COMPUTED_VALUE"""),247.22)</f>
        <v>247.22</v>
      </c>
      <c r="C615" s="3">
        <f>IFERROR(__xludf.DUMMYFUNCTION("""COMPUTED_VALUE"""),251.84)</f>
        <v>251.84</v>
      </c>
      <c r="D615" s="3">
        <f>IFERROR(__xludf.DUMMYFUNCTION("""COMPUTED_VALUE"""),241.1)</f>
        <v>241.1</v>
      </c>
      <c r="E615" s="3">
        <f>IFERROR(__xludf.DUMMYFUNCTION("""COMPUTED_VALUE"""),248.09)</f>
        <v>248.09</v>
      </c>
      <c r="F615" s="3">
        <f>IFERROR(__xludf.DUMMYFUNCTION("""COMPUTED_VALUE"""),1.42215681E8)</f>
        <v>142215681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">
        <f>IFERROR(__xludf.DUMMYFUNCTION("""COMPUTED_VALUE"""),45729.66666666667)</f>
        <v>45729.66667</v>
      </c>
      <c r="B616" s="3">
        <f>IFERROR(__xludf.DUMMYFUNCTION("""COMPUTED_VALUE"""),248.13)</f>
        <v>248.13</v>
      </c>
      <c r="C616" s="3">
        <f>IFERROR(__xludf.DUMMYFUNCTION("""COMPUTED_VALUE"""),248.29)</f>
        <v>248.29</v>
      </c>
      <c r="D616" s="3">
        <f>IFERROR(__xludf.DUMMYFUNCTION("""COMPUTED_VALUE"""),232.6)</f>
        <v>232.6</v>
      </c>
      <c r="E616" s="3">
        <f>IFERROR(__xludf.DUMMYFUNCTION("""COMPUTED_VALUE"""),240.68)</f>
        <v>240.68</v>
      </c>
      <c r="F616" s="3">
        <f>IFERROR(__xludf.DUMMYFUNCTION("""COMPUTED_VALUE"""),1.14813525E8)</f>
        <v>114813525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">
        <f>IFERROR(__xludf.DUMMYFUNCTION("""COMPUTED_VALUE"""),45730.66666666667)</f>
        <v>45730.66667</v>
      </c>
      <c r="B617" s="3">
        <f>IFERROR(__xludf.DUMMYFUNCTION("""COMPUTED_VALUE"""),247.31)</f>
        <v>247.31</v>
      </c>
      <c r="C617" s="3">
        <f>IFERROR(__xludf.DUMMYFUNCTION("""COMPUTED_VALUE"""),251.58)</f>
        <v>251.58</v>
      </c>
      <c r="D617" s="3">
        <f>IFERROR(__xludf.DUMMYFUNCTION("""COMPUTED_VALUE"""),240.73)</f>
        <v>240.73</v>
      </c>
      <c r="E617" s="3">
        <f>IFERROR(__xludf.DUMMYFUNCTION("""COMPUTED_VALUE"""),249.98)</f>
        <v>249.98</v>
      </c>
      <c r="F617" s="3">
        <f>IFERROR(__xludf.DUMMYFUNCTION("""COMPUTED_VALUE"""),1.00242264E8)</f>
        <v>100242264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">
        <f>IFERROR(__xludf.DUMMYFUNCTION("""COMPUTED_VALUE"""),45733.66666666667)</f>
        <v>45733.66667</v>
      </c>
      <c r="B618" s="3">
        <f>IFERROR(__xludf.DUMMYFUNCTION("""COMPUTED_VALUE"""),245.06)</f>
        <v>245.06</v>
      </c>
      <c r="C618" s="3">
        <f>IFERROR(__xludf.DUMMYFUNCTION("""COMPUTED_VALUE"""),245.4)</f>
        <v>245.4</v>
      </c>
      <c r="D618" s="3">
        <f>IFERROR(__xludf.DUMMYFUNCTION("""COMPUTED_VALUE"""),232.8)</f>
        <v>232.8</v>
      </c>
      <c r="E618" s="3">
        <f>IFERROR(__xludf.DUMMYFUNCTION("""COMPUTED_VALUE"""),238.01)</f>
        <v>238.01</v>
      </c>
      <c r="F618" s="3">
        <f>IFERROR(__xludf.DUMMYFUNCTION("""COMPUTED_VALUE"""),1.11900565E8)</f>
        <v>111900565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">
        <f>IFERROR(__xludf.DUMMYFUNCTION("""COMPUTED_VALUE"""),45734.66666666667)</f>
        <v>45734.66667</v>
      </c>
      <c r="B619" s="3">
        <f>IFERROR(__xludf.DUMMYFUNCTION("""COMPUTED_VALUE"""),228.16)</f>
        <v>228.16</v>
      </c>
      <c r="C619" s="3">
        <f>IFERROR(__xludf.DUMMYFUNCTION("""COMPUTED_VALUE"""),230.1)</f>
        <v>230.1</v>
      </c>
      <c r="D619" s="3">
        <f>IFERROR(__xludf.DUMMYFUNCTION("""COMPUTED_VALUE"""),222.28)</f>
        <v>222.28</v>
      </c>
      <c r="E619" s="3">
        <f>IFERROR(__xludf.DUMMYFUNCTION("""COMPUTED_VALUE"""),225.31)</f>
        <v>225.31</v>
      </c>
      <c r="F619" s="3">
        <f>IFERROR(__xludf.DUMMYFUNCTION("""COMPUTED_VALUE"""),1.11477636E8)</f>
        <v>111477636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">
        <f>IFERROR(__xludf.DUMMYFUNCTION("""COMPUTED_VALUE"""),45735.66666666667)</f>
        <v>45735.66667</v>
      </c>
      <c r="B620" s="3">
        <f>IFERROR(__xludf.DUMMYFUNCTION("""COMPUTED_VALUE"""),231.61)</f>
        <v>231.61</v>
      </c>
      <c r="C620" s="3">
        <f>IFERROR(__xludf.DUMMYFUNCTION("""COMPUTED_VALUE"""),241.41)</f>
        <v>241.41</v>
      </c>
      <c r="D620" s="3">
        <f>IFERROR(__xludf.DUMMYFUNCTION("""COMPUTED_VALUE"""),229.2)</f>
        <v>229.2</v>
      </c>
      <c r="E620" s="3">
        <f>IFERROR(__xludf.DUMMYFUNCTION("""COMPUTED_VALUE"""),235.86)</f>
        <v>235.86</v>
      </c>
      <c r="F620" s="3">
        <f>IFERROR(__xludf.DUMMYFUNCTION("""COMPUTED_VALUE"""),1.11993753E8)</f>
        <v>111993753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">
        <f>IFERROR(__xludf.DUMMYFUNCTION("""COMPUTED_VALUE"""),45736.66666666667)</f>
        <v>45736.66667</v>
      </c>
      <c r="B621" s="3">
        <f>IFERROR(__xludf.DUMMYFUNCTION("""COMPUTED_VALUE"""),233.35)</f>
        <v>233.35</v>
      </c>
      <c r="C621" s="3">
        <f>IFERROR(__xludf.DUMMYFUNCTION("""COMPUTED_VALUE"""),238.0)</f>
        <v>238</v>
      </c>
      <c r="D621" s="3">
        <f>IFERROR(__xludf.DUMMYFUNCTION("""COMPUTED_VALUE"""),230.05)</f>
        <v>230.05</v>
      </c>
      <c r="E621" s="3">
        <f>IFERROR(__xludf.DUMMYFUNCTION("""COMPUTED_VALUE"""),236.26)</f>
        <v>236.26</v>
      </c>
      <c r="F621" s="3">
        <f>IFERROR(__xludf.DUMMYFUNCTION("""COMPUTED_VALUE"""),9.902827E7)</f>
        <v>99028270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">
        <f>IFERROR(__xludf.DUMMYFUNCTION("""COMPUTED_VALUE"""),45737.66666666667)</f>
        <v>45737.66667</v>
      </c>
      <c r="B622" s="3">
        <f>IFERROR(__xludf.DUMMYFUNCTION("""COMPUTED_VALUE"""),234.99)</f>
        <v>234.99</v>
      </c>
      <c r="C622" s="3">
        <f>IFERROR(__xludf.DUMMYFUNCTION("""COMPUTED_VALUE"""),249.52)</f>
        <v>249.52</v>
      </c>
      <c r="D622" s="3">
        <f>IFERROR(__xludf.DUMMYFUNCTION("""COMPUTED_VALUE"""),234.55)</f>
        <v>234.55</v>
      </c>
      <c r="E622" s="3">
        <f>IFERROR(__xludf.DUMMYFUNCTION("""COMPUTED_VALUE"""),248.71)</f>
        <v>248.71</v>
      </c>
      <c r="F622" s="3">
        <f>IFERROR(__xludf.DUMMYFUNCTION("""COMPUTED_VALUE"""),1.32728684E8)</f>
        <v>132728684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">
        <f>IFERROR(__xludf.DUMMYFUNCTION("""COMPUTED_VALUE"""),45740.66666666667)</f>
        <v>45740.66667</v>
      </c>
      <c r="B623" s="3">
        <f>IFERROR(__xludf.DUMMYFUNCTION("""COMPUTED_VALUE"""),258.08)</f>
        <v>258.08</v>
      </c>
      <c r="C623" s="3">
        <f>IFERROR(__xludf.DUMMYFUNCTION("""COMPUTED_VALUE"""),278.64)</f>
        <v>278.64</v>
      </c>
      <c r="D623" s="3">
        <f>IFERROR(__xludf.DUMMYFUNCTION("""COMPUTED_VALUE"""),256.33)</f>
        <v>256.33</v>
      </c>
      <c r="E623" s="3">
        <f>IFERROR(__xludf.DUMMYFUNCTION("""COMPUTED_VALUE"""),278.39)</f>
        <v>278.39</v>
      </c>
      <c r="F623" s="3">
        <f>IFERROR(__xludf.DUMMYFUNCTION("""COMPUTED_VALUE"""),1.69079865E8)</f>
        <v>169079865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">
        <f>IFERROR(__xludf.DUMMYFUNCTION("""COMPUTED_VALUE"""),45741.66666666667)</f>
        <v>45741.66667</v>
      </c>
      <c r="B624" s="3">
        <f>IFERROR(__xludf.DUMMYFUNCTION("""COMPUTED_VALUE"""),283.6)</f>
        <v>283.6</v>
      </c>
      <c r="C624" s="3">
        <f>IFERROR(__xludf.DUMMYFUNCTION("""COMPUTED_VALUE"""),288.2)</f>
        <v>288.2</v>
      </c>
      <c r="D624" s="3">
        <f>IFERROR(__xludf.DUMMYFUNCTION("""COMPUTED_VALUE"""),271.28)</f>
        <v>271.28</v>
      </c>
      <c r="E624" s="3">
        <f>IFERROR(__xludf.DUMMYFUNCTION("""COMPUTED_VALUE"""),288.14)</f>
        <v>288.14</v>
      </c>
      <c r="F624" s="3">
        <f>IFERROR(__xludf.DUMMYFUNCTION("""COMPUTED_VALUE"""),1.50361538E8)</f>
        <v>150361538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">
        <f>IFERROR(__xludf.DUMMYFUNCTION("""COMPUTED_VALUE"""),45742.66666666667)</f>
        <v>45742.66667</v>
      </c>
      <c r="B625" s="3">
        <f>IFERROR(__xludf.DUMMYFUNCTION("""COMPUTED_VALUE"""),282.66)</f>
        <v>282.66</v>
      </c>
      <c r="C625" s="3">
        <f>IFERROR(__xludf.DUMMYFUNCTION("""COMPUTED_VALUE"""),284.9)</f>
        <v>284.9</v>
      </c>
      <c r="D625" s="3">
        <f>IFERROR(__xludf.DUMMYFUNCTION("""COMPUTED_VALUE"""),266.51)</f>
        <v>266.51</v>
      </c>
      <c r="E625" s="3">
        <f>IFERROR(__xludf.DUMMYFUNCTION("""COMPUTED_VALUE"""),272.06)</f>
        <v>272.06</v>
      </c>
      <c r="F625" s="3">
        <f>IFERROR(__xludf.DUMMYFUNCTION("""COMPUTED_VALUE"""),1.56254441E8)</f>
        <v>156254441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">
        <f>IFERROR(__xludf.DUMMYFUNCTION("""COMPUTED_VALUE"""),45743.66666666667)</f>
        <v>45743.66667</v>
      </c>
      <c r="B626" s="3">
        <f>IFERROR(__xludf.DUMMYFUNCTION("""COMPUTED_VALUE"""),272.48)</f>
        <v>272.48</v>
      </c>
      <c r="C626" s="3">
        <f>IFERROR(__xludf.DUMMYFUNCTION("""COMPUTED_VALUE"""),291.85)</f>
        <v>291.85</v>
      </c>
      <c r="D626" s="3">
        <f>IFERROR(__xludf.DUMMYFUNCTION("""COMPUTED_VALUE"""),271.82)</f>
        <v>271.82</v>
      </c>
      <c r="E626" s="3">
        <f>IFERROR(__xludf.DUMMYFUNCTION("""COMPUTED_VALUE"""),273.13)</f>
        <v>273.13</v>
      </c>
      <c r="F626" s="3">
        <f>IFERROR(__xludf.DUMMYFUNCTION("""COMPUTED_VALUE"""),1.62572146E8)</f>
        <v>162572146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">
        <f>IFERROR(__xludf.DUMMYFUNCTION("""COMPUTED_VALUE"""),45744.66666666667)</f>
        <v>45744.66667</v>
      </c>
      <c r="B627" s="3">
        <f>IFERROR(__xludf.DUMMYFUNCTION("""COMPUTED_VALUE"""),275.58)</f>
        <v>275.58</v>
      </c>
      <c r="C627" s="3">
        <f>IFERROR(__xludf.DUMMYFUNCTION("""COMPUTED_VALUE"""),276.1)</f>
        <v>276.1</v>
      </c>
      <c r="D627" s="3">
        <f>IFERROR(__xludf.DUMMYFUNCTION("""COMPUTED_VALUE"""),260.57)</f>
        <v>260.57</v>
      </c>
      <c r="E627" s="3">
        <f>IFERROR(__xludf.DUMMYFUNCTION("""COMPUTED_VALUE"""),263.55)</f>
        <v>263.55</v>
      </c>
      <c r="F627" s="3">
        <f>IFERROR(__xludf.DUMMYFUNCTION("""COMPUTED_VALUE"""),1.23809389E8)</f>
        <v>123809389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">
        <f>IFERROR(__xludf.DUMMYFUNCTION("""COMPUTED_VALUE"""),45747.66666666667)</f>
        <v>45747.66667</v>
      </c>
      <c r="B628" s="3">
        <f>IFERROR(__xludf.DUMMYFUNCTION("""COMPUTED_VALUE"""),249.31)</f>
        <v>249.31</v>
      </c>
      <c r="C628" s="3">
        <f>IFERROR(__xludf.DUMMYFUNCTION("""COMPUTED_VALUE"""),260.56)</f>
        <v>260.56</v>
      </c>
      <c r="D628" s="3">
        <f>IFERROR(__xludf.DUMMYFUNCTION("""COMPUTED_VALUE"""),243.36)</f>
        <v>243.36</v>
      </c>
      <c r="E628" s="3">
        <f>IFERROR(__xludf.DUMMYFUNCTION("""COMPUTED_VALUE"""),259.16)</f>
        <v>259.16</v>
      </c>
      <c r="F628" s="3">
        <f>IFERROR(__xludf.DUMMYFUNCTION("""COMPUTED_VALUE"""),1.34008936E8)</f>
        <v>134008936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">
        <f>IFERROR(__xludf.DUMMYFUNCTION("""COMPUTED_VALUE"""),45748.66666666667)</f>
        <v>45748.66667</v>
      </c>
      <c r="B629" s="3">
        <f>IFERROR(__xludf.DUMMYFUNCTION("""COMPUTED_VALUE"""),263.8)</f>
        <v>263.8</v>
      </c>
      <c r="C629" s="3">
        <f>IFERROR(__xludf.DUMMYFUNCTION("""COMPUTED_VALUE"""),277.45)</f>
        <v>277.45</v>
      </c>
      <c r="D629" s="3">
        <f>IFERROR(__xludf.DUMMYFUNCTION("""COMPUTED_VALUE"""),259.25)</f>
        <v>259.25</v>
      </c>
      <c r="E629" s="3">
        <f>IFERROR(__xludf.DUMMYFUNCTION("""COMPUTED_VALUE"""),268.46)</f>
        <v>268.46</v>
      </c>
      <c r="F629" s="3">
        <f>IFERROR(__xludf.DUMMYFUNCTION("""COMPUTED_VALUE"""),1.46486911E8)</f>
        <v>146486911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">
        <f>IFERROR(__xludf.DUMMYFUNCTION("""COMPUTED_VALUE"""),45749.66666666667)</f>
        <v>45749.66667</v>
      </c>
      <c r="B630" s="3">
        <f>IFERROR(__xludf.DUMMYFUNCTION("""COMPUTED_VALUE"""),254.6)</f>
        <v>254.6</v>
      </c>
      <c r="C630" s="3">
        <f>IFERROR(__xludf.DUMMYFUNCTION("""COMPUTED_VALUE"""),284.99)</f>
        <v>284.99</v>
      </c>
      <c r="D630" s="3">
        <f>IFERROR(__xludf.DUMMYFUNCTION("""COMPUTED_VALUE"""),251.27)</f>
        <v>251.27</v>
      </c>
      <c r="E630" s="3">
        <f>IFERROR(__xludf.DUMMYFUNCTION("""COMPUTED_VALUE"""),282.76)</f>
        <v>282.76</v>
      </c>
      <c r="F630" s="3">
        <f>IFERROR(__xludf.DUMMYFUNCTION("""COMPUTED_VALUE"""),2.12787817E8)</f>
        <v>212787817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">
        <f>IFERROR(__xludf.DUMMYFUNCTION("""COMPUTED_VALUE"""),45750.66666666667)</f>
        <v>45750.66667</v>
      </c>
      <c r="B631" s="3">
        <f>IFERROR(__xludf.DUMMYFUNCTION("""COMPUTED_VALUE"""),265.29)</f>
        <v>265.29</v>
      </c>
      <c r="C631" s="3">
        <f>IFERROR(__xludf.DUMMYFUNCTION("""COMPUTED_VALUE"""),276.3)</f>
        <v>276.3</v>
      </c>
      <c r="D631" s="3">
        <f>IFERROR(__xludf.DUMMYFUNCTION("""COMPUTED_VALUE"""),261.51)</f>
        <v>261.51</v>
      </c>
      <c r="E631" s="3">
        <f>IFERROR(__xludf.DUMMYFUNCTION("""COMPUTED_VALUE"""),267.28)</f>
        <v>267.28</v>
      </c>
      <c r="F631" s="3">
        <f>IFERROR(__xludf.DUMMYFUNCTION("""COMPUTED_VALUE"""),1.36174291E8)</f>
        <v>136174291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">
        <f>IFERROR(__xludf.DUMMYFUNCTION("""COMPUTED_VALUE"""),45751.66666666667)</f>
        <v>45751.66667</v>
      </c>
      <c r="B632" s="3">
        <f>IFERROR(__xludf.DUMMYFUNCTION("""COMPUTED_VALUE"""),255.38)</f>
        <v>255.38</v>
      </c>
      <c r="C632" s="3">
        <f>IFERROR(__xludf.DUMMYFUNCTION("""COMPUTED_VALUE"""),261.0)</f>
        <v>261</v>
      </c>
      <c r="D632" s="3">
        <f>IFERROR(__xludf.DUMMYFUNCTION("""COMPUTED_VALUE"""),236.0)</f>
        <v>236</v>
      </c>
      <c r="E632" s="3">
        <f>IFERROR(__xludf.DUMMYFUNCTION("""COMPUTED_VALUE"""),239.43)</f>
        <v>239.43</v>
      </c>
      <c r="F632" s="3">
        <f>IFERROR(__xludf.DUMMYFUNCTION("""COMPUTED_VALUE"""),1.81229353E8)</f>
        <v>181229353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">
        <f>IFERROR(__xludf.DUMMYFUNCTION("""COMPUTED_VALUE"""),45754.66666666667)</f>
        <v>45754.66667</v>
      </c>
      <c r="B633" s="3">
        <f>IFERROR(__xludf.DUMMYFUNCTION("""COMPUTED_VALUE"""),223.78)</f>
        <v>223.78</v>
      </c>
      <c r="C633" s="3">
        <f>IFERROR(__xludf.DUMMYFUNCTION("""COMPUTED_VALUE"""),252.0)</f>
        <v>252</v>
      </c>
      <c r="D633" s="3">
        <f>IFERROR(__xludf.DUMMYFUNCTION("""COMPUTED_VALUE"""),214.25)</f>
        <v>214.25</v>
      </c>
      <c r="E633" s="3">
        <f>IFERROR(__xludf.DUMMYFUNCTION("""COMPUTED_VALUE"""),233.29)</f>
        <v>233.29</v>
      </c>
      <c r="F633" s="3">
        <f>IFERROR(__xludf.DUMMYFUNCTION("""COMPUTED_VALUE"""),1.83453776E8)</f>
        <v>183453776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">
        <f>IFERROR(__xludf.DUMMYFUNCTION("""COMPUTED_VALUE"""),45755.66666666667)</f>
        <v>45755.66667</v>
      </c>
      <c r="B634" s="3">
        <f>IFERROR(__xludf.DUMMYFUNCTION("""COMPUTED_VALUE"""),245.0)</f>
        <v>245</v>
      </c>
      <c r="C634" s="3">
        <f>IFERROR(__xludf.DUMMYFUNCTION("""COMPUTED_VALUE"""),250.44)</f>
        <v>250.44</v>
      </c>
      <c r="D634" s="3">
        <f>IFERROR(__xludf.DUMMYFUNCTION("""COMPUTED_VALUE"""),217.8)</f>
        <v>217.8</v>
      </c>
      <c r="E634" s="3">
        <f>IFERROR(__xludf.DUMMYFUNCTION("""COMPUTED_VALUE"""),221.86)</f>
        <v>221.86</v>
      </c>
      <c r="F634" s="3">
        <f>IFERROR(__xludf.DUMMYFUNCTION("""COMPUTED_VALUE"""),1.71603472E8)</f>
        <v>171603472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">
        <f>IFERROR(__xludf.DUMMYFUNCTION("""COMPUTED_VALUE"""),45756.66666666667)</f>
        <v>45756.66667</v>
      </c>
      <c r="B635" s="3">
        <f>IFERROR(__xludf.DUMMYFUNCTION("""COMPUTED_VALUE"""),224.69)</f>
        <v>224.69</v>
      </c>
      <c r="C635" s="3">
        <f>IFERROR(__xludf.DUMMYFUNCTION("""COMPUTED_VALUE"""),274.69)</f>
        <v>274.69</v>
      </c>
      <c r="D635" s="3">
        <f>IFERROR(__xludf.DUMMYFUNCTION("""COMPUTED_VALUE"""),223.88)</f>
        <v>223.88</v>
      </c>
      <c r="E635" s="3">
        <f>IFERROR(__xludf.DUMMYFUNCTION("""COMPUTED_VALUE"""),272.2)</f>
        <v>272.2</v>
      </c>
      <c r="F635" s="3">
        <f>IFERROR(__xludf.DUMMYFUNCTION("""COMPUTED_VALUE"""),2.19433373E8)</f>
        <v>219433373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">
        <f>IFERROR(__xludf.DUMMYFUNCTION("""COMPUTED_VALUE"""),45757.66666666667)</f>
        <v>45757.66667</v>
      </c>
      <c r="B636" s="3">
        <f>IFERROR(__xludf.DUMMYFUNCTION("""COMPUTED_VALUE"""),260.0)</f>
        <v>260</v>
      </c>
      <c r="C636" s="3">
        <f>IFERROR(__xludf.DUMMYFUNCTION("""COMPUTED_VALUE"""),262.49)</f>
        <v>262.49</v>
      </c>
      <c r="D636" s="3">
        <f>IFERROR(__xludf.DUMMYFUNCTION("""COMPUTED_VALUE"""),239.33)</f>
        <v>239.33</v>
      </c>
      <c r="E636" s="3">
        <f>IFERROR(__xludf.DUMMYFUNCTION("""COMPUTED_VALUE"""),252.4)</f>
        <v>252.4</v>
      </c>
      <c r="F636" s="3">
        <f>IFERROR(__xludf.DUMMYFUNCTION("""COMPUTED_VALUE"""),1.81722604E8)</f>
        <v>181722604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">
        <f>IFERROR(__xludf.DUMMYFUNCTION("""COMPUTED_VALUE"""),45758.66666666667)</f>
        <v>45758.66667</v>
      </c>
      <c r="B637" s="3">
        <f>IFERROR(__xludf.DUMMYFUNCTION("""COMPUTED_VALUE"""),251.84)</f>
        <v>251.84</v>
      </c>
      <c r="C637" s="3">
        <f>IFERROR(__xludf.DUMMYFUNCTION("""COMPUTED_VALUE"""),257.74)</f>
        <v>257.74</v>
      </c>
      <c r="D637" s="3">
        <f>IFERROR(__xludf.DUMMYFUNCTION("""COMPUTED_VALUE"""),241.36)</f>
        <v>241.36</v>
      </c>
      <c r="E637" s="3">
        <f>IFERROR(__xludf.DUMMYFUNCTION("""COMPUTED_VALUE"""),252.31)</f>
        <v>252.31</v>
      </c>
      <c r="F637" s="3">
        <f>IFERROR(__xludf.DUMMYFUNCTION("""COMPUTED_VALUE"""),1.28948085E8)</f>
        <v>128948085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">
        <f>IFERROR(__xludf.DUMMYFUNCTION("""COMPUTED_VALUE"""),45761.66666666667)</f>
        <v>45761.66667</v>
      </c>
      <c r="B638" s="3">
        <f>IFERROR(__xludf.DUMMYFUNCTION("""COMPUTED_VALUE"""),258.36)</f>
        <v>258.36</v>
      </c>
      <c r="C638" s="3">
        <f>IFERROR(__xludf.DUMMYFUNCTION("""COMPUTED_VALUE"""),261.8)</f>
        <v>261.8</v>
      </c>
      <c r="D638" s="3">
        <f>IFERROR(__xludf.DUMMYFUNCTION("""COMPUTED_VALUE"""),245.93)</f>
        <v>245.93</v>
      </c>
      <c r="E638" s="3">
        <f>IFERROR(__xludf.DUMMYFUNCTION("""COMPUTED_VALUE"""),252.35)</f>
        <v>252.35</v>
      </c>
      <c r="F638" s="3">
        <f>IFERROR(__xludf.DUMMYFUNCTION("""COMPUTED_VALUE"""),1.00135241E8)</f>
        <v>100135241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">
        <f>IFERROR(__xludf.DUMMYFUNCTION("""COMPUTED_VALUE"""),45762.66666666667)</f>
        <v>45762.66667</v>
      </c>
      <c r="B639" s="3">
        <f>IFERROR(__xludf.DUMMYFUNCTION("""COMPUTED_VALUE"""),249.91)</f>
        <v>249.91</v>
      </c>
      <c r="C639" s="3">
        <f>IFERROR(__xludf.DUMMYFUNCTION("""COMPUTED_VALUE"""),258.75)</f>
        <v>258.75</v>
      </c>
      <c r="D639" s="3">
        <f>IFERROR(__xludf.DUMMYFUNCTION("""COMPUTED_VALUE"""),247.54)</f>
        <v>247.54</v>
      </c>
      <c r="E639" s="3">
        <f>IFERROR(__xludf.DUMMYFUNCTION("""COMPUTED_VALUE"""),254.11)</f>
        <v>254.11</v>
      </c>
      <c r="F639" s="3">
        <f>IFERROR(__xludf.DUMMYFUNCTION("""COMPUTED_VALUE"""),7.9594318E7)</f>
        <v>79594318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">
        <f>IFERROR(__xludf.DUMMYFUNCTION("""COMPUTED_VALUE"""),45763.66666666667)</f>
        <v>45763.66667</v>
      </c>
      <c r="B640" s="3">
        <f>IFERROR(__xludf.DUMMYFUNCTION("""COMPUTED_VALUE"""),247.61)</f>
        <v>247.61</v>
      </c>
      <c r="C640" s="3">
        <f>IFERROR(__xludf.DUMMYFUNCTION("""COMPUTED_VALUE"""),251.97)</f>
        <v>251.97</v>
      </c>
      <c r="D640" s="3">
        <f>IFERROR(__xludf.DUMMYFUNCTION("""COMPUTED_VALUE"""),233.89)</f>
        <v>233.89</v>
      </c>
      <c r="E640" s="3">
        <f>IFERROR(__xludf.DUMMYFUNCTION("""COMPUTED_VALUE"""),241.55)</f>
        <v>241.55</v>
      </c>
      <c r="F640" s="3">
        <f>IFERROR(__xludf.DUMMYFUNCTION("""COMPUTED_VALUE"""),1.12378737E8)</f>
        <v>112378737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">
        <f>IFERROR(__xludf.DUMMYFUNCTION("""COMPUTED_VALUE"""),45764.66666666667)</f>
        <v>45764.66667</v>
      </c>
      <c r="B641" s="3">
        <f>IFERROR(__xludf.DUMMYFUNCTION("""COMPUTED_VALUE"""),243.47)</f>
        <v>243.47</v>
      </c>
      <c r="C641" s="3">
        <f>IFERROR(__xludf.DUMMYFUNCTION("""COMPUTED_VALUE"""),244.34)</f>
        <v>244.34</v>
      </c>
      <c r="D641" s="3">
        <f>IFERROR(__xludf.DUMMYFUNCTION("""COMPUTED_VALUE"""),237.68)</f>
        <v>237.68</v>
      </c>
      <c r="E641" s="3">
        <f>IFERROR(__xludf.DUMMYFUNCTION("""COMPUTED_VALUE"""),241.37)</f>
        <v>241.37</v>
      </c>
      <c r="F641" s="3">
        <f>IFERROR(__xludf.DUMMYFUNCTION("""COMPUTED_VALUE"""),8.3404775E7)</f>
        <v>83404775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">
        <f>IFERROR(__xludf.DUMMYFUNCTION("""COMPUTED_VALUE"""),45768.66666666667)</f>
        <v>45768.66667</v>
      </c>
      <c r="B642" s="3">
        <f>IFERROR(__xludf.DUMMYFUNCTION("""COMPUTED_VALUE"""),230.26)</f>
        <v>230.26</v>
      </c>
      <c r="C642" s="3">
        <f>IFERROR(__xludf.DUMMYFUNCTION("""COMPUTED_VALUE"""),232.21)</f>
        <v>232.21</v>
      </c>
      <c r="D642" s="3">
        <f>IFERROR(__xludf.DUMMYFUNCTION("""COMPUTED_VALUE"""),222.79)</f>
        <v>222.79</v>
      </c>
      <c r="E642" s="3">
        <f>IFERROR(__xludf.DUMMYFUNCTION("""COMPUTED_VALUE"""),227.5)</f>
        <v>227.5</v>
      </c>
      <c r="F642" s="3">
        <f>IFERROR(__xludf.DUMMYFUNCTION("""COMPUTED_VALUE"""),9.7768007E7)</f>
        <v>97768007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">
        <f>IFERROR(__xludf.DUMMYFUNCTION("""COMPUTED_VALUE"""),45769.66666666667)</f>
        <v>45769.66667</v>
      </c>
      <c r="B643" s="3">
        <f>IFERROR(__xludf.DUMMYFUNCTION("""COMPUTED_VALUE"""),230.96)</f>
        <v>230.96</v>
      </c>
      <c r="C643" s="3">
        <f>IFERROR(__xludf.DUMMYFUNCTION("""COMPUTED_VALUE"""),242.79)</f>
        <v>242.79</v>
      </c>
      <c r="D643" s="3">
        <f>IFERROR(__xludf.DUMMYFUNCTION("""COMPUTED_VALUE"""),229.85)</f>
        <v>229.85</v>
      </c>
      <c r="E643" s="3">
        <f>IFERROR(__xludf.DUMMYFUNCTION("""COMPUTED_VALUE"""),237.97)</f>
        <v>237.97</v>
      </c>
      <c r="F643" s="3">
        <f>IFERROR(__xludf.DUMMYFUNCTION("""COMPUTED_VALUE"""),1.20858452E8)</f>
        <v>120858452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">
        <f>IFERROR(__xludf.DUMMYFUNCTION("""COMPUTED_VALUE"""),45770.66666666667)</f>
        <v>45770.66667</v>
      </c>
      <c r="B644" s="3">
        <f>IFERROR(__xludf.DUMMYFUNCTION("""COMPUTED_VALUE"""),254.86)</f>
        <v>254.86</v>
      </c>
      <c r="C644" s="3">
        <f>IFERROR(__xludf.DUMMYFUNCTION("""COMPUTED_VALUE"""),259.45)</f>
        <v>259.45</v>
      </c>
      <c r="D644" s="3">
        <f>IFERROR(__xludf.DUMMYFUNCTION("""COMPUTED_VALUE"""),244.43)</f>
        <v>244.43</v>
      </c>
      <c r="E644" s="3">
        <f>IFERROR(__xludf.DUMMYFUNCTION("""COMPUTED_VALUE"""),250.74)</f>
        <v>250.74</v>
      </c>
      <c r="F644" s="3">
        <f>IFERROR(__xludf.DUMMYFUNCTION("""COMPUTED_VALUE"""),1.50381903E8)</f>
        <v>150381903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">
        <f>IFERROR(__xludf.DUMMYFUNCTION("""COMPUTED_VALUE"""),45771.66666666667)</f>
        <v>45771.66667</v>
      </c>
      <c r="B645" s="3">
        <f>IFERROR(__xludf.DUMMYFUNCTION("""COMPUTED_VALUE"""),250.5)</f>
        <v>250.5</v>
      </c>
      <c r="C645" s="3">
        <f>IFERROR(__xludf.DUMMYFUNCTION("""COMPUTED_VALUE"""),259.54)</f>
        <v>259.54</v>
      </c>
      <c r="D645" s="3">
        <f>IFERROR(__xludf.DUMMYFUNCTION("""COMPUTED_VALUE"""),249.2)</f>
        <v>249.2</v>
      </c>
      <c r="E645" s="3">
        <f>IFERROR(__xludf.DUMMYFUNCTION("""COMPUTED_VALUE"""),259.51)</f>
        <v>259.51</v>
      </c>
      <c r="F645" s="3">
        <f>IFERROR(__xludf.DUMMYFUNCTION("""COMPUTED_VALUE"""),9.4464195E7)</f>
        <v>94464195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">
        <f>IFERROR(__xludf.DUMMYFUNCTION("""COMPUTED_VALUE"""),45772.66666666667)</f>
        <v>45772.66667</v>
      </c>
      <c r="B646" s="3">
        <f>IFERROR(__xludf.DUMMYFUNCTION("""COMPUTED_VALUE"""),261.69)</f>
        <v>261.69</v>
      </c>
      <c r="C646" s="3">
        <f>IFERROR(__xludf.DUMMYFUNCTION("""COMPUTED_VALUE"""),286.85)</f>
        <v>286.85</v>
      </c>
      <c r="D646" s="3">
        <f>IFERROR(__xludf.DUMMYFUNCTION("""COMPUTED_VALUE"""),259.63)</f>
        <v>259.63</v>
      </c>
      <c r="E646" s="3">
        <f>IFERROR(__xludf.DUMMYFUNCTION("""COMPUTED_VALUE"""),284.95)</f>
        <v>284.95</v>
      </c>
      <c r="F646" s="3">
        <f>IFERROR(__xludf.DUMMYFUNCTION("""COMPUTED_VALUE"""),1.67560688E8)</f>
        <v>167560688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">
        <f>IFERROR(__xludf.DUMMYFUNCTION("""COMPUTED_VALUE"""),45775.66666666667)</f>
        <v>45775.66667</v>
      </c>
      <c r="B647" s="3">
        <f>IFERROR(__xludf.DUMMYFUNCTION("""COMPUTED_VALUE"""),288.98)</f>
        <v>288.98</v>
      </c>
      <c r="C647" s="3">
        <f>IFERROR(__xludf.DUMMYFUNCTION("""COMPUTED_VALUE"""),294.86)</f>
        <v>294.86</v>
      </c>
      <c r="D647" s="3">
        <f>IFERROR(__xludf.DUMMYFUNCTION("""COMPUTED_VALUE"""),272.42)</f>
        <v>272.42</v>
      </c>
      <c r="E647" s="3">
        <f>IFERROR(__xludf.DUMMYFUNCTION("""COMPUTED_VALUE"""),285.88)</f>
        <v>285.88</v>
      </c>
      <c r="F647" s="3">
        <f>IFERROR(__xludf.DUMMYFUNCTION("""COMPUTED_VALUE"""),1.51731771E8)</f>
        <v>151731771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">
        <f>IFERROR(__xludf.DUMMYFUNCTION("""COMPUTED_VALUE"""),45776.66666666667)</f>
        <v>45776.66667</v>
      </c>
      <c r="B648" s="3">
        <f>IFERROR(__xludf.DUMMYFUNCTION("""COMPUTED_VALUE"""),285.5)</f>
        <v>285.5</v>
      </c>
      <c r="C648" s="3">
        <f>IFERROR(__xludf.DUMMYFUNCTION("""COMPUTED_VALUE"""),293.32)</f>
        <v>293.32</v>
      </c>
      <c r="D648" s="3">
        <f>IFERROR(__xludf.DUMMYFUNCTION("""COMPUTED_VALUE"""),279.47)</f>
        <v>279.47</v>
      </c>
      <c r="E648" s="3">
        <f>IFERROR(__xludf.DUMMYFUNCTION("""COMPUTED_VALUE"""),292.03)</f>
        <v>292.03</v>
      </c>
      <c r="F648" s="3">
        <f>IFERROR(__xludf.DUMMYFUNCTION("""COMPUTED_VALUE"""),1.08906553E8)</f>
        <v>108906553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">
        <f>IFERROR(__xludf.DUMMYFUNCTION("""COMPUTED_VALUE"""),45777.66666666667)</f>
        <v>45777.66667</v>
      </c>
      <c r="B649" s="3">
        <f>IFERROR(__xludf.DUMMYFUNCTION("""COMPUTED_VALUE"""),279.9)</f>
        <v>279.9</v>
      </c>
      <c r="C649" s="3">
        <f>IFERROR(__xludf.DUMMYFUNCTION("""COMPUTED_VALUE"""),284.45)</f>
        <v>284.45</v>
      </c>
      <c r="D649" s="3">
        <f>IFERROR(__xludf.DUMMYFUNCTION("""COMPUTED_VALUE"""),270.78)</f>
        <v>270.78</v>
      </c>
      <c r="E649" s="3">
        <f>IFERROR(__xludf.DUMMYFUNCTION("""COMPUTED_VALUE"""),282.16)</f>
        <v>282.16</v>
      </c>
      <c r="F649" s="3">
        <f>IFERROR(__xludf.DUMMYFUNCTION("""COMPUTED_VALUE"""),1.28961057E8)</f>
        <v>128961057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">
        <f>IFERROR(__xludf.DUMMYFUNCTION("""COMPUTED_VALUE"""),45778.66666666667)</f>
        <v>45778.66667</v>
      </c>
      <c r="B650" s="3">
        <f>IFERROR(__xludf.DUMMYFUNCTION("""COMPUTED_VALUE"""),280.01)</f>
        <v>280.01</v>
      </c>
      <c r="C650" s="3">
        <f>IFERROR(__xludf.DUMMYFUNCTION("""COMPUTED_VALUE"""),290.87)</f>
        <v>290.87</v>
      </c>
      <c r="D650" s="3">
        <f>IFERROR(__xludf.DUMMYFUNCTION("""COMPUTED_VALUE"""),279.81)</f>
        <v>279.81</v>
      </c>
      <c r="E650" s="3">
        <f>IFERROR(__xludf.DUMMYFUNCTION("""COMPUTED_VALUE"""),280.52)</f>
        <v>280.52</v>
      </c>
      <c r="F650" s="3">
        <f>IFERROR(__xludf.DUMMYFUNCTION("""COMPUTED_VALUE"""),9.9658974E7)</f>
        <v>99658974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">
        <f>IFERROR(__xludf.DUMMYFUNCTION("""COMPUTED_VALUE"""),45779.66666666667)</f>
        <v>45779.66667</v>
      </c>
      <c r="B651" s="3">
        <f>IFERROR(__xludf.DUMMYFUNCTION("""COMPUTED_VALUE"""),284.9)</f>
        <v>284.9</v>
      </c>
      <c r="C651" s="3">
        <f>IFERROR(__xludf.DUMMYFUNCTION("""COMPUTED_VALUE"""),294.78)</f>
        <v>294.78</v>
      </c>
      <c r="D651" s="3">
        <f>IFERROR(__xludf.DUMMYFUNCTION("""COMPUTED_VALUE"""),279.81)</f>
        <v>279.81</v>
      </c>
      <c r="E651" s="3">
        <f>IFERROR(__xludf.DUMMYFUNCTION("""COMPUTED_VALUE"""),287.21)</f>
        <v>287.21</v>
      </c>
      <c r="F651" s="3">
        <f>IFERROR(__xludf.DUMMYFUNCTION("""COMPUTED_VALUE"""),1.14454683E8)</f>
        <v>114454683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">
        <f>IFERROR(__xludf.DUMMYFUNCTION("""COMPUTED_VALUE"""),45782.66666666667)</f>
        <v>45782.66667</v>
      </c>
      <c r="B652" s="3">
        <f>IFERROR(__xludf.DUMMYFUNCTION("""COMPUTED_VALUE"""),284.57)</f>
        <v>284.57</v>
      </c>
      <c r="C652" s="3">
        <f>IFERROR(__xludf.DUMMYFUNCTION("""COMPUTED_VALUE"""),284.85)</f>
        <v>284.85</v>
      </c>
      <c r="D652" s="3">
        <f>IFERROR(__xludf.DUMMYFUNCTION("""COMPUTED_VALUE"""),274.4)</f>
        <v>274.4</v>
      </c>
      <c r="E652" s="3">
        <f>IFERROR(__xludf.DUMMYFUNCTION("""COMPUTED_VALUE"""),280.26)</f>
        <v>280.26</v>
      </c>
      <c r="F652" s="3">
        <f>IFERROR(__xludf.DUMMYFUNCTION("""COMPUTED_VALUE"""),9.4618882E7)</f>
        <v>94618882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">
        <f>IFERROR(__xludf.DUMMYFUNCTION("""COMPUTED_VALUE"""),45783.66666666667)</f>
        <v>45783.66667</v>
      </c>
      <c r="B653" s="3">
        <f>IFERROR(__xludf.DUMMYFUNCTION("""COMPUTED_VALUE"""),273.11)</f>
        <v>273.11</v>
      </c>
      <c r="C653" s="3">
        <f>IFERROR(__xludf.DUMMYFUNCTION("""COMPUTED_VALUE"""),277.73)</f>
        <v>277.73</v>
      </c>
      <c r="D653" s="3">
        <f>IFERROR(__xludf.DUMMYFUNCTION("""COMPUTED_VALUE"""),271.35)</f>
        <v>271.35</v>
      </c>
      <c r="E653" s="3">
        <f>IFERROR(__xludf.DUMMYFUNCTION("""COMPUTED_VALUE"""),275.35)</f>
        <v>275.35</v>
      </c>
      <c r="F653" s="3">
        <f>IFERROR(__xludf.DUMMYFUNCTION("""COMPUTED_VALUE"""),7.6715792E7)</f>
        <v>76715792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">
        <f>IFERROR(__xludf.DUMMYFUNCTION("""COMPUTED_VALUE"""),45784.66666666667)</f>
        <v>45784.66667</v>
      </c>
      <c r="B654" s="3">
        <f>IFERROR(__xludf.DUMMYFUNCTION("""COMPUTED_VALUE"""),276.88)</f>
        <v>276.88</v>
      </c>
      <c r="C654" s="3">
        <f>IFERROR(__xludf.DUMMYFUNCTION("""COMPUTED_VALUE"""),277.92)</f>
        <v>277.92</v>
      </c>
      <c r="D654" s="3">
        <f>IFERROR(__xludf.DUMMYFUNCTION("""COMPUTED_VALUE"""),271.0)</f>
        <v>271</v>
      </c>
      <c r="E654" s="3">
        <f>IFERROR(__xludf.DUMMYFUNCTION("""COMPUTED_VALUE"""),276.22)</f>
        <v>276.22</v>
      </c>
      <c r="F654" s="3">
        <f>IFERROR(__xludf.DUMMYFUNCTION("""COMPUTED_VALUE"""),7.1882408E7)</f>
        <v>71882408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">
        <f>IFERROR(__xludf.DUMMYFUNCTION("""COMPUTED_VALUE"""),45785.66666666667)</f>
        <v>45785.66667</v>
      </c>
      <c r="B655" s="3">
        <f>IFERROR(__xludf.DUMMYFUNCTION("""COMPUTED_VALUE"""),279.63)</f>
        <v>279.63</v>
      </c>
      <c r="C655" s="3">
        <f>IFERROR(__xludf.DUMMYFUNCTION("""COMPUTED_VALUE"""),289.8)</f>
        <v>289.8</v>
      </c>
      <c r="D655" s="3">
        <f>IFERROR(__xludf.DUMMYFUNCTION("""COMPUTED_VALUE"""),279.41)</f>
        <v>279.41</v>
      </c>
      <c r="E655" s="3">
        <f>IFERROR(__xludf.DUMMYFUNCTION("""COMPUTED_VALUE"""),284.82)</f>
        <v>284.82</v>
      </c>
      <c r="F655" s="3">
        <f>IFERROR(__xludf.DUMMYFUNCTION("""COMPUTED_VALUE"""),9.7539448E7)</f>
        <v>97539448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">
        <f>IFERROR(__xludf.DUMMYFUNCTION("""COMPUTED_VALUE"""),45786.66666666667)</f>
        <v>45786.66667</v>
      </c>
      <c r="B656" s="3">
        <f>IFERROR(__xludf.DUMMYFUNCTION("""COMPUTED_VALUE"""),290.21)</f>
        <v>290.21</v>
      </c>
      <c r="C656" s="3">
        <f>IFERROR(__xludf.DUMMYFUNCTION("""COMPUTED_VALUE"""),307.04)</f>
        <v>307.04</v>
      </c>
      <c r="D656" s="3">
        <f>IFERROR(__xludf.DUMMYFUNCTION("""COMPUTED_VALUE"""),290.0)</f>
        <v>290</v>
      </c>
      <c r="E656" s="3">
        <f>IFERROR(__xludf.DUMMYFUNCTION("""COMPUTED_VALUE"""),298.26)</f>
        <v>298.26</v>
      </c>
      <c r="F656" s="3">
        <f>IFERROR(__xludf.DUMMYFUNCTION("""COMPUTED_VALUE"""),1.32387835E8)</f>
        <v>132387835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">
        <f>IFERROR(__xludf.DUMMYFUNCTION("""COMPUTED_VALUE"""),45789.66666666667)</f>
        <v>45789.66667</v>
      </c>
      <c r="B657" s="3">
        <f>IFERROR(__xludf.DUMMYFUNCTION("""COMPUTED_VALUE"""),321.99)</f>
        <v>321.99</v>
      </c>
      <c r="C657" s="3">
        <f>IFERROR(__xludf.DUMMYFUNCTION("""COMPUTED_VALUE"""),322.21)</f>
        <v>322.21</v>
      </c>
      <c r="D657" s="3">
        <f>IFERROR(__xludf.DUMMYFUNCTION("""COMPUTED_VALUE"""),311.5)</f>
        <v>311.5</v>
      </c>
      <c r="E657" s="3">
        <f>IFERROR(__xludf.DUMMYFUNCTION("""COMPUTED_VALUE"""),318.38)</f>
        <v>318.38</v>
      </c>
      <c r="F657" s="3">
        <f>IFERROR(__xludf.DUMMYFUNCTION("""COMPUTED_VALUE"""),1.12826661E8)</f>
        <v>112826661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">
        <f>IFERROR(__xludf.DUMMYFUNCTION("""COMPUTED_VALUE"""),45790.66666666667)</f>
        <v>45790.66667</v>
      </c>
      <c r="B658" s="3">
        <f>IFERROR(__xludf.DUMMYFUNCTION("""COMPUTED_VALUE"""),320.0)</f>
        <v>320</v>
      </c>
      <c r="C658" s="3">
        <f>IFERROR(__xludf.DUMMYFUNCTION("""COMPUTED_VALUE"""),337.59)</f>
        <v>337.59</v>
      </c>
      <c r="D658" s="3">
        <f>IFERROR(__xludf.DUMMYFUNCTION("""COMPUTED_VALUE"""),316.8)</f>
        <v>316.8</v>
      </c>
      <c r="E658" s="3">
        <f>IFERROR(__xludf.DUMMYFUNCTION("""COMPUTED_VALUE"""),334.07)</f>
        <v>334.07</v>
      </c>
      <c r="F658" s="3">
        <f>IFERROR(__xludf.DUMMYFUNCTION("""COMPUTED_VALUE"""),1.36992574E8)</f>
        <v>136992574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">
        <f>IFERROR(__xludf.DUMMYFUNCTION("""COMPUTED_VALUE"""),45791.66666666667)</f>
        <v>45791.66667</v>
      </c>
      <c r="B659" s="3">
        <f>IFERROR(__xludf.DUMMYFUNCTION("""COMPUTED_VALUE"""),342.5)</f>
        <v>342.5</v>
      </c>
      <c r="C659" s="3">
        <f>IFERROR(__xludf.DUMMYFUNCTION("""COMPUTED_VALUE"""),350.0)</f>
        <v>350</v>
      </c>
      <c r="D659" s="3">
        <f>IFERROR(__xludf.DUMMYFUNCTION("""COMPUTED_VALUE"""),337.0)</f>
        <v>337</v>
      </c>
      <c r="E659" s="3">
        <f>IFERROR(__xludf.DUMMYFUNCTION("""COMPUTED_VALUE"""),347.68)</f>
        <v>347.68</v>
      </c>
      <c r="F659" s="3">
        <f>IFERROR(__xludf.DUMMYFUNCTION("""COMPUTED_VALUE"""),1.36997264E8)</f>
        <v>136997264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">
        <f>IFERROR(__xludf.DUMMYFUNCTION("""COMPUTED_VALUE"""),45792.66666666667)</f>
        <v>45792.66667</v>
      </c>
      <c r="B660" s="3">
        <f>IFERROR(__xludf.DUMMYFUNCTION("""COMPUTED_VALUE"""),340.34)</f>
        <v>340.34</v>
      </c>
      <c r="C660" s="3">
        <f>IFERROR(__xludf.DUMMYFUNCTION("""COMPUTED_VALUE"""),346.14)</f>
        <v>346.14</v>
      </c>
      <c r="D660" s="3">
        <f>IFERROR(__xludf.DUMMYFUNCTION("""COMPUTED_VALUE"""),334.72)</f>
        <v>334.72</v>
      </c>
      <c r="E660" s="3">
        <f>IFERROR(__xludf.DUMMYFUNCTION("""COMPUTED_VALUE"""),342.82)</f>
        <v>342.82</v>
      </c>
      <c r="F660" s="3">
        <f>IFERROR(__xludf.DUMMYFUNCTION("""COMPUTED_VALUE"""),9.7882596E7)</f>
        <v>97882596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">
        <f>IFERROR(__xludf.DUMMYFUNCTION("""COMPUTED_VALUE"""),45793.66666666667)</f>
        <v>45793.66667</v>
      </c>
      <c r="B661" s="3">
        <f>IFERROR(__xludf.DUMMYFUNCTION("""COMPUTED_VALUE"""),346.24)</f>
        <v>346.24</v>
      </c>
      <c r="C661" s="3">
        <f>IFERROR(__xludf.DUMMYFUNCTION("""COMPUTED_VALUE"""),351.62)</f>
        <v>351.62</v>
      </c>
      <c r="D661" s="3">
        <f>IFERROR(__xludf.DUMMYFUNCTION("""COMPUTED_VALUE"""),342.33)</f>
        <v>342.33</v>
      </c>
      <c r="E661" s="3">
        <f>IFERROR(__xludf.DUMMYFUNCTION("""COMPUTED_VALUE"""),349.98)</f>
        <v>349.98</v>
      </c>
      <c r="F661" s="3">
        <f>IFERROR(__xludf.DUMMYFUNCTION("""COMPUTED_VALUE"""),9.5895665E7)</f>
        <v>95895665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">
        <f>IFERROR(__xludf.DUMMYFUNCTION("""COMPUTED_VALUE"""),45796.66666666667)</f>
        <v>45796.66667</v>
      </c>
      <c r="B662" s="3">
        <f>IFERROR(__xludf.DUMMYFUNCTION("""COMPUTED_VALUE"""),336.3)</f>
        <v>336.3</v>
      </c>
      <c r="C662" s="3">
        <f>IFERROR(__xludf.DUMMYFUNCTION("""COMPUTED_VALUE"""),343.0)</f>
        <v>343</v>
      </c>
      <c r="D662" s="3">
        <f>IFERROR(__xludf.DUMMYFUNCTION("""COMPUTED_VALUE"""),333.37)</f>
        <v>333.37</v>
      </c>
      <c r="E662" s="3">
        <f>IFERROR(__xludf.DUMMYFUNCTION("""COMPUTED_VALUE"""),342.09)</f>
        <v>342.09</v>
      </c>
      <c r="F662" s="3">
        <f>IFERROR(__xludf.DUMMYFUNCTION("""COMPUTED_VALUE"""),8.8869853E7)</f>
        <v>88869853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">
        <f>IFERROR(__xludf.DUMMYFUNCTION("""COMPUTED_VALUE"""),45797.66666666667)</f>
        <v>45797.66667</v>
      </c>
      <c r="B663" s="3">
        <f>IFERROR(__xludf.DUMMYFUNCTION("""COMPUTED_VALUE"""),347.87)</f>
        <v>347.87</v>
      </c>
      <c r="C663" s="3">
        <f>IFERROR(__xludf.DUMMYFUNCTION("""COMPUTED_VALUE"""),354.99)</f>
        <v>354.99</v>
      </c>
      <c r="D663" s="3">
        <f>IFERROR(__xludf.DUMMYFUNCTION("""COMPUTED_VALUE"""),341.63)</f>
        <v>341.63</v>
      </c>
      <c r="E663" s="3">
        <f>IFERROR(__xludf.DUMMYFUNCTION("""COMPUTED_VALUE"""),343.82)</f>
        <v>343.82</v>
      </c>
      <c r="F663" s="3">
        <f>IFERROR(__xludf.DUMMYFUNCTION("""COMPUTED_VALUE"""),1.31715548E8)</f>
        <v>131715548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">
        <f>IFERROR(__xludf.DUMMYFUNCTION("""COMPUTED_VALUE"""),45798.66666666667)</f>
        <v>45798.66667</v>
      </c>
      <c r="B664" s="3">
        <f>IFERROR(__xludf.DUMMYFUNCTION("""COMPUTED_VALUE"""),344.43)</f>
        <v>344.43</v>
      </c>
      <c r="C664" s="3">
        <f>IFERROR(__xludf.DUMMYFUNCTION("""COMPUTED_VALUE"""),347.35)</f>
        <v>347.35</v>
      </c>
      <c r="D664" s="3">
        <f>IFERROR(__xludf.DUMMYFUNCTION("""COMPUTED_VALUE"""),332.2)</f>
        <v>332.2</v>
      </c>
      <c r="E664" s="3">
        <f>IFERROR(__xludf.DUMMYFUNCTION("""COMPUTED_VALUE"""),334.62)</f>
        <v>334.62</v>
      </c>
      <c r="F664" s="3">
        <f>IFERROR(__xludf.DUMMYFUNCTION("""COMPUTED_VALUE"""),1.02354844E8)</f>
        <v>102354844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">
        <f>IFERROR(__xludf.DUMMYFUNCTION("""COMPUTED_VALUE"""),45799.66666666667)</f>
        <v>45799.66667</v>
      </c>
      <c r="B665" s="3">
        <f>IFERROR(__xludf.DUMMYFUNCTION("""COMPUTED_VALUE"""),344.43)</f>
        <v>344.43</v>
      </c>
      <c r="C665" s="3">
        <f>IFERROR(__xludf.DUMMYFUNCTION("""COMPUTED_VALUE"""),347.35)</f>
        <v>347.35</v>
      </c>
      <c r="D665" s="3">
        <f>IFERROR(__xludf.DUMMYFUNCTION("""COMPUTED_VALUE"""),332.2)</f>
        <v>332.2</v>
      </c>
      <c r="E665" s="3">
        <f>IFERROR(__xludf.DUMMYFUNCTION("""COMPUTED_VALUE"""),334.62)</f>
        <v>334.62</v>
      </c>
      <c r="F665" s="3">
        <f>IFERROR(__xludf.DUMMYFUNCTION("""COMPUTED_VALUE"""),5462213.0)</f>
        <v>5462213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">
        <f>IFERROR(__xludf.DUMMYFUNCTION("""COMPUTED_VALUE"""),45800.66666666667)</f>
        <v>45800.66667</v>
      </c>
      <c r="B666" s="3">
        <f>IFERROR(__xludf.DUMMYFUNCTION("""COMPUTED_VALUE"""),337.92)</f>
        <v>337.92</v>
      </c>
      <c r="C666" s="3">
        <f>IFERROR(__xludf.DUMMYFUNCTION("""COMPUTED_VALUE"""),343.18)</f>
        <v>343.18</v>
      </c>
      <c r="D666" s="3">
        <f>IFERROR(__xludf.DUMMYFUNCTION("""COMPUTED_VALUE"""),333.21)</f>
        <v>333.21</v>
      </c>
      <c r="E666" s="3">
        <f>IFERROR(__xludf.DUMMYFUNCTION("""COMPUTED_VALUE"""),339.34)</f>
        <v>339.34</v>
      </c>
      <c r="F666" s="3">
        <f>IFERROR(__xludf.DUMMYFUNCTION("""COMPUTED_VALUE"""),8.4654818E7)</f>
        <v>84654818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">
        <f>IFERROR(__xludf.DUMMYFUNCTION("""COMPUTED_VALUE"""),45804.66666666667)</f>
        <v>45804.66667</v>
      </c>
      <c r="B667" s="3">
        <f>IFERROR(__xludf.DUMMYFUNCTION("""COMPUTED_VALUE"""),347.35)</f>
        <v>347.35</v>
      </c>
      <c r="C667" s="3">
        <f>IFERROR(__xludf.DUMMYFUNCTION("""COMPUTED_VALUE"""),363.79)</f>
        <v>363.79</v>
      </c>
      <c r="D667" s="3">
        <f>IFERROR(__xludf.DUMMYFUNCTION("""COMPUTED_VALUE"""),347.32)</f>
        <v>347.32</v>
      </c>
      <c r="E667" s="3">
        <f>IFERROR(__xludf.DUMMYFUNCTION("""COMPUTED_VALUE"""),362.89)</f>
        <v>362.89</v>
      </c>
      <c r="F667" s="3">
        <f>IFERROR(__xludf.DUMMYFUNCTION("""COMPUTED_VALUE"""),1.20146414E8)</f>
        <v>120146414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">
        <f>IFERROR(__xludf.DUMMYFUNCTION("""COMPUTED_VALUE"""),45805.66666666667)</f>
        <v>45805.66667</v>
      </c>
      <c r="B668" s="3">
        <f>IFERROR(__xludf.DUMMYFUNCTION("""COMPUTED_VALUE"""),364.84)</f>
        <v>364.84</v>
      </c>
      <c r="C668" s="3">
        <f>IFERROR(__xludf.DUMMYFUNCTION("""COMPUTED_VALUE"""),365.0)</f>
        <v>365</v>
      </c>
      <c r="D668" s="3">
        <f>IFERROR(__xludf.DUMMYFUNCTION("""COMPUTED_VALUE"""),355.91)</f>
        <v>355.91</v>
      </c>
      <c r="E668" s="3">
        <f>IFERROR(__xludf.DUMMYFUNCTION("""COMPUTED_VALUE"""),356.9)</f>
        <v>356.9</v>
      </c>
      <c r="F668" s="3">
        <f>IFERROR(__xludf.DUMMYFUNCTION("""COMPUTED_VALUE"""),9.1404309E7)</f>
        <v>91404309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">
        <f>IFERROR(__xludf.DUMMYFUNCTION("""COMPUTED_VALUE"""),45806.66666666667)</f>
        <v>45806.66667</v>
      </c>
      <c r="B669" s="3">
        <f>IFERROR(__xludf.DUMMYFUNCTION("""COMPUTED_VALUE"""),365.29)</f>
        <v>365.29</v>
      </c>
      <c r="C669" s="3">
        <f>IFERROR(__xludf.DUMMYFUNCTION("""COMPUTED_VALUE"""),367.71)</f>
        <v>367.71</v>
      </c>
      <c r="D669" s="3">
        <f>IFERROR(__xludf.DUMMYFUNCTION("""COMPUTED_VALUE"""),356.0)</f>
        <v>356</v>
      </c>
      <c r="E669" s="3">
        <f>IFERROR(__xludf.DUMMYFUNCTION("""COMPUTED_VALUE"""),358.43)</f>
        <v>358.43</v>
      </c>
      <c r="F669" s="3">
        <f>IFERROR(__xludf.DUMMYFUNCTION("""COMPUTED_VALUE"""),8.8545666E7)</f>
        <v>88545666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">
        <f>IFERROR(__xludf.DUMMYFUNCTION("""COMPUTED_VALUE"""),45807.66666666667)</f>
        <v>45807.66667</v>
      </c>
      <c r="B670" s="3">
        <f>IFERROR(__xludf.DUMMYFUNCTION("""COMPUTED_VALUE"""),355.52)</f>
        <v>355.52</v>
      </c>
      <c r="C670" s="3">
        <f>IFERROR(__xludf.DUMMYFUNCTION("""COMPUTED_VALUE"""),363.68)</f>
        <v>363.68</v>
      </c>
      <c r="D670" s="3">
        <f>IFERROR(__xludf.DUMMYFUNCTION("""COMPUTED_VALUE"""),345.29)</f>
        <v>345.29</v>
      </c>
      <c r="E670" s="3">
        <f>IFERROR(__xludf.DUMMYFUNCTION("""COMPUTED_VALUE"""),346.46)</f>
        <v>346.46</v>
      </c>
      <c r="F670" s="3">
        <f>IFERROR(__xludf.DUMMYFUNCTION("""COMPUTED_VALUE"""),1.23474938E8)</f>
        <v>123474938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">
        <f>IFERROR(__xludf.DUMMYFUNCTION("""COMPUTED_VALUE"""),45810.66666666667)</f>
        <v>45810.66667</v>
      </c>
      <c r="B671" s="3">
        <f>IFERROR(__xludf.DUMMYFUNCTION("""COMPUTED_VALUE"""),343.5)</f>
        <v>343.5</v>
      </c>
      <c r="C671" s="3">
        <f>IFERROR(__xludf.DUMMYFUNCTION("""COMPUTED_VALUE"""),348.02)</f>
        <v>348.02</v>
      </c>
      <c r="D671" s="3">
        <f>IFERROR(__xludf.DUMMYFUNCTION("""COMPUTED_VALUE"""),333.33)</f>
        <v>333.33</v>
      </c>
      <c r="E671" s="3">
        <f>IFERROR(__xludf.DUMMYFUNCTION("""COMPUTED_VALUE"""),342.69)</f>
        <v>342.69</v>
      </c>
      <c r="F671" s="3">
        <f>IFERROR(__xludf.DUMMYFUNCTION("""COMPUTED_VALUE"""),8.1873829E7)</f>
        <v>81873829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">
        <f>IFERROR(__xludf.DUMMYFUNCTION("""COMPUTED_VALUE"""),45811.66666666667)</f>
        <v>45811.66667</v>
      </c>
      <c r="B672" s="3">
        <f>IFERROR(__xludf.DUMMYFUNCTION("""COMPUTED_VALUE"""),346.6)</f>
        <v>346.6</v>
      </c>
      <c r="C672" s="3">
        <f>IFERROR(__xludf.DUMMYFUNCTION("""COMPUTED_VALUE"""),355.4)</f>
        <v>355.4</v>
      </c>
      <c r="D672" s="3">
        <f>IFERROR(__xludf.DUMMYFUNCTION("""COMPUTED_VALUE"""),343.04)</f>
        <v>343.04</v>
      </c>
      <c r="E672" s="3">
        <f>IFERROR(__xludf.DUMMYFUNCTION("""COMPUTED_VALUE"""),344.27)</f>
        <v>344.27</v>
      </c>
      <c r="F672" s="3">
        <f>IFERROR(__xludf.DUMMYFUNCTION("""COMPUTED_VALUE"""),9.9324544E7)</f>
        <v>99324544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">
        <f>IFERROR(__xludf.DUMMYFUNCTION("""COMPUTED_VALUE"""),45812.66666666667)</f>
        <v>45812.66667</v>
      </c>
      <c r="B673" s="3">
        <f>IFERROR(__xludf.DUMMYFUNCTION("""COMPUTED_VALUE"""),345.1)</f>
        <v>345.1</v>
      </c>
      <c r="C673" s="3">
        <f>IFERROR(__xludf.DUMMYFUNCTION("""COMPUTED_VALUE"""),345.6)</f>
        <v>345.6</v>
      </c>
      <c r="D673" s="3">
        <f>IFERROR(__xludf.DUMMYFUNCTION("""COMPUTED_VALUE"""),327.33)</f>
        <v>327.33</v>
      </c>
      <c r="E673" s="3">
        <f>IFERROR(__xludf.DUMMYFUNCTION("""COMPUTED_VALUE"""),332.05)</f>
        <v>332.05</v>
      </c>
      <c r="F673" s="3">
        <f>IFERROR(__xludf.DUMMYFUNCTION("""COMPUTED_VALUE"""),9.8912075E7)</f>
        <v>98912075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">
        <f>IFERROR(__xludf.DUMMYFUNCTION("""COMPUTED_VALUE"""),45813.66666666667)</f>
        <v>45813.66667</v>
      </c>
      <c r="B674" s="3">
        <f>IFERROR(__xludf.DUMMYFUNCTION("""COMPUTED_VALUE"""),322.49)</f>
        <v>322.49</v>
      </c>
      <c r="C674" s="3">
        <f>IFERROR(__xludf.DUMMYFUNCTION("""COMPUTED_VALUE"""),324.55)</f>
        <v>324.55</v>
      </c>
      <c r="D674" s="3">
        <f>IFERROR(__xludf.DUMMYFUNCTION("""COMPUTED_VALUE"""),273.21)</f>
        <v>273.21</v>
      </c>
      <c r="E674" s="3">
        <f>IFERROR(__xludf.DUMMYFUNCTION("""COMPUTED_VALUE"""),284.7)</f>
        <v>284.7</v>
      </c>
      <c r="F674" s="3">
        <f>IFERROR(__xludf.DUMMYFUNCTION("""COMPUTED_VALUE"""),2.92818655E8)</f>
        <v>292818655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">
        <f>IFERROR(__xludf.DUMMYFUNCTION("""COMPUTED_VALUE"""),45814.66666666667)</f>
        <v>45814.66667</v>
      </c>
      <c r="B675" s="3">
        <f>IFERROR(__xludf.DUMMYFUNCTION("""COMPUTED_VALUE"""),298.83)</f>
        <v>298.83</v>
      </c>
      <c r="C675" s="3">
        <f>IFERROR(__xludf.DUMMYFUNCTION("""COMPUTED_VALUE"""),305.5)</f>
        <v>305.5</v>
      </c>
      <c r="D675" s="3">
        <f>IFERROR(__xludf.DUMMYFUNCTION("""COMPUTED_VALUE"""),291.14)</f>
        <v>291.14</v>
      </c>
      <c r="E675" s="3">
        <f>IFERROR(__xludf.DUMMYFUNCTION("""COMPUTED_VALUE"""),295.14)</f>
        <v>295.14</v>
      </c>
      <c r="F675" s="3">
        <f>IFERROR(__xludf.DUMMYFUNCTION("""COMPUTED_VALUE"""),1.64747685E8)</f>
        <v>164747685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">
        <f>IFERROR(__xludf.DUMMYFUNCTION("""COMPUTED_VALUE"""),45817.66666666667)</f>
        <v>45817.66667</v>
      </c>
      <c r="B676" s="3">
        <f>IFERROR(__xludf.DUMMYFUNCTION("""COMPUTED_VALUE"""),285.96)</f>
        <v>285.96</v>
      </c>
      <c r="C676" s="3">
        <f>IFERROR(__xludf.DUMMYFUNCTION("""COMPUTED_VALUE"""),309.83)</f>
        <v>309.83</v>
      </c>
      <c r="D676" s="3">
        <f>IFERROR(__xludf.DUMMYFUNCTION("""COMPUTED_VALUE"""),281.85)</f>
        <v>281.85</v>
      </c>
      <c r="E676" s="3">
        <f>IFERROR(__xludf.DUMMYFUNCTION("""COMPUTED_VALUE"""),308.58)</f>
        <v>308.58</v>
      </c>
      <c r="F676" s="3">
        <f>IFERROR(__xludf.DUMMYFUNCTION("""COMPUTED_VALUE"""),1.40908876E8)</f>
        <v>140908876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">
        <f>IFERROR(__xludf.DUMMYFUNCTION("""COMPUTED_VALUE"""),45818.66666666667)</f>
        <v>45818.66667</v>
      </c>
      <c r="B677" s="3">
        <f>IFERROR(__xludf.DUMMYFUNCTION("""COMPUTED_VALUE"""),314.94)</f>
        <v>314.94</v>
      </c>
      <c r="C677" s="3">
        <f>IFERROR(__xludf.DUMMYFUNCTION("""COMPUTED_VALUE"""),327.83)</f>
        <v>327.83</v>
      </c>
      <c r="D677" s="3">
        <f>IFERROR(__xludf.DUMMYFUNCTION("""COMPUTED_VALUE"""),310.67)</f>
        <v>310.67</v>
      </c>
      <c r="E677" s="3">
        <f>IFERROR(__xludf.DUMMYFUNCTION("""COMPUTED_VALUE"""),326.09)</f>
        <v>326.09</v>
      </c>
      <c r="F677" s="3">
        <f>IFERROR(__xludf.DUMMYFUNCTION("""COMPUTED_VALUE"""),1.5125652E8)</f>
        <v>151256520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">
        <f>IFERROR(__xludf.DUMMYFUNCTION("""COMPUTED_VALUE"""),45819.66666666667)</f>
        <v>45819.66667</v>
      </c>
      <c r="B678" s="3">
        <f>IFERROR(__xludf.DUMMYFUNCTION("""COMPUTED_VALUE"""),334.4)</f>
        <v>334.4</v>
      </c>
      <c r="C678" s="3">
        <f>IFERROR(__xludf.DUMMYFUNCTION("""COMPUTED_VALUE"""),335.5)</f>
        <v>335.5</v>
      </c>
      <c r="D678" s="3">
        <f>IFERROR(__xludf.DUMMYFUNCTION("""COMPUTED_VALUE"""),322.5)</f>
        <v>322.5</v>
      </c>
      <c r="E678" s="3">
        <f>IFERROR(__xludf.DUMMYFUNCTION("""COMPUTED_VALUE"""),326.43)</f>
        <v>326.43</v>
      </c>
      <c r="F678" s="3">
        <f>IFERROR(__xludf.DUMMYFUNCTION("""COMPUTED_VALUE"""),1.2261136E8)</f>
        <v>122611360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">
        <f>IFERROR(__xludf.DUMMYFUNCTION("""COMPUTED_VALUE"""),45820.66666666667)</f>
        <v>45820.66667</v>
      </c>
      <c r="B679" s="3">
        <f>IFERROR(__xludf.DUMMYFUNCTION("""COMPUTED_VALUE"""),323.08)</f>
        <v>323.08</v>
      </c>
      <c r="C679" s="3">
        <f>IFERROR(__xludf.DUMMYFUNCTION("""COMPUTED_VALUE"""),332.56)</f>
        <v>332.56</v>
      </c>
      <c r="D679" s="3">
        <f>IFERROR(__xludf.DUMMYFUNCTION("""COMPUTED_VALUE"""),316.86)</f>
        <v>316.86</v>
      </c>
      <c r="E679" s="3">
        <f>IFERROR(__xludf.DUMMYFUNCTION("""COMPUTED_VALUE"""),319.11)</f>
        <v>319.11</v>
      </c>
      <c r="F679" s="3">
        <f>IFERROR(__xludf.DUMMYFUNCTION("""COMPUTED_VALUE"""),1.05127536E8)</f>
        <v>105127536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">
        <f>IFERROR(__xludf.DUMMYFUNCTION("""COMPUTED_VALUE"""),45821.66666666667)</f>
        <v>45821.66667</v>
      </c>
      <c r="B680" s="3">
        <f>IFERROR(__xludf.DUMMYFUNCTION("""COMPUTED_VALUE"""),313.97)</f>
        <v>313.97</v>
      </c>
      <c r="C680" s="3">
        <f>IFERROR(__xludf.DUMMYFUNCTION("""COMPUTED_VALUE"""),332.99)</f>
        <v>332.99</v>
      </c>
      <c r="D680" s="3">
        <f>IFERROR(__xludf.DUMMYFUNCTION("""COMPUTED_VALUE"""),313.3)</f>
        <v>313.3</v>
      </c>
      <c r="E680" s="3">
        <f>IFERROR(__xludf.DUMMYFUNCTION("""COMPUTED_VALUE"""),325.31)</f>
        <v>325.31</v>
      </c>
      <c r="F680" s="3">
        <f>IFERROR(__xludf.DUMMYFUNCTION("""COMPUTED_VALUE"""),1.28964279E8)</f>
        <v>128964279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">
        <f>IFERROR(__xludf.DUMMYFUNCTION("""COMPUTED_VALUE"""),45824.66666666667)</f>
        <v>45824.66667</v>
      </c>
      <c r="B681" s="3">
        <f>IFERROR(__xludf.DUMMYFUNCTION("""COMPUTED_VALUE"""),331.29)</f>
        <v>331.29</v>
      </c>
      <c r="C681" s="3">
        <f>IFERROR(__xludf.DUMMYFUNCTION("""COMPUTED_VALUE"""),332.05)</f>
        <v>332.05</v>
      </c>
      <c r="D681" s="3">
        <f>IFERROR(__xludf.DUMMYFUNCTION("""COMPUTED_VALUE"""),326.41)</f>
        <v>326.41</v>
      </c>
      <c r="E681" s="3">
        <f>IFERROR(__xludf.DUMMYFUNCTION("""COMPUTED_VALUE"""),329.13)</f>
        <v>329.13</v>
      </c>
      <c r="F681" s="3">
        <f>IFERROR(__xludf.DUMMYFUNCTION("""COMPUTED_VALUE"""),8.3925858E7)</f>
        <v>83925858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">
        <f>IFERROR(__xludf.DUMMYFUNCTION("""COMPUTED_VALUE"""),45825.66666666667)</f>
        <v>45825.66667</v>
      </c>
      <c r="B682" s="3">
        <f>IFERROR(__xludf.DUMMYFUNCTION("""COMPUTED_VALUE"""),326.09)</f>
        <v>326.09</v>
      </c>
      <c r="C682" s="3">
        <f>IFERROR(__xludf.DUMMYFUNCTION("""COMPUTED_VALUE"""),327.26)</f>
        <v>327.26</v>
      </c>
      <c r="D682" s="3">
        <f>IFERROR(__xludf.DUMMYFUNCTION("""COMPUTED_VALUE"""),314.74)</f>
        <v>314.74</v>
      </c>
      <c r="E682" s="3">
        <f>IFERROR(__xludf.DUMMYFUNCTION("""COMPUTED_VALUE"""),316.35)</f>
        <v>316.35</v>
      </c>
      <c r="F682" s="3">
        <f>IFERROR(__xludf.DUMMYFUNCTION("""COMPUTED_VALUE"""),8.8282669E7)</f>
        <v>88282669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">
        <f>IFERROR(__xludf.DUMMYFUNCTION("""COMPUTED_VALUE"""),45826.66666666667)</f>
        <v>45826.66667</v>
      </c>
      <c r="B683" s="3">
        <f>IFERROR(__xludf.DUMMYFUNCTION("""COMPUTED_VALUE"""),317.31)</f>
        <v>317.31</v>
      </c>
      <c r="C683" s="3">
        <f>IFERROR(__xludf.DUMMYFUNCTION("""COMPUTED_VALUE"""),329.32)</f>
        <v>329.32</v>
      </c>
      <c r="D683" s="3">
        <f>IFERROR(__xludf.DUMMYFUNCTION("""COMPUTED_VALUE"""),315.45)</f>
        <v>315.45</v>
      </c>
      <c r="E683" s="3">
        <f>IFERROR(__xludf.DUMMYFUNCTION("""COMPUTED_VALUE"""),322.05)</f>
        <v>322.05</v>
      </c>
      <c r="F683" s="3">
        <f>IFERROR(__xludf.DUMMYFUNCTION("""COMPUTED_VALUE"""),9.5137686E7)</f>
        <v>95137686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">
        <f>IFERROR(__xludf.DUMMYFUNCTION("""COMPUTED_VALUE"""),45828.66666666667)</f>
        <v>45828.66667</v>
      </c>
      <c r="B684" s="3">
        <f>IFERROR(__xludf.DUMMYFUNCTION("""COMPUTED_VALUE"""),327.95)</f>
        <v>327.95</v>
      </c>
      <c r="C684" s="3">
        <f>IFERROR(__xludf.DUMMYFUNCTION("""COMPUTED_VALUE"""),332.36)</f>
        <v>332.36</v>
      </c>
      <c r="D684" s="3">
        <f>IFERROR(__xludf.DUMMYFUNCTION("""COMPUTED_VALUE"""),317.78)</f>
        <v>317.78</v>
      </c>
      <c r="E684" s="3">
        <f>IFERROR(__xludf.DUMMYFUNCTION("""COMPUTED_VALUE"""),322.16)</f>
        <v>322.16</v>
      </c>
      <c r="F684" s="3">
        <f>IFERROR(__xludf.DUMMYFUNCTION("""COMPUTED_VALUE"""),1.08688008E8)</f>
        <v>108688008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">
        <f>IFERROR(__xludf.DUMMYFUNCTION("""COMPUTED_VALUE"""),45831.66666666667)</f>
        <v>45831.66667</v>
      </c>
      <c r="B685" s="3">
        <f>IFERROR(__xludf.DUMMYFUNCTION("""COMPUTED_VALUE"""),327.54)</f>
        <v>327.54</v>
      </c>
      <c r="C685" s="3">
        <f>IFERROR(__xludf.DUMMYFUNCTION("""COMPUTED_VALUE"""),357.54)</f>
        <v>357.54</v>
      </c>
      <c r="D685" s="3">
        <f>IFERROR(__xludf.DUMMYFUNCTION("""COMPUTED_VALUE"""),327.48)</f>
        <v>327.48</v>
      </c>
      <c r="E685" s="3">
        <f>IFERROR(__xludf.DUMMYFUNCTION("""COMPUTED_VALUE"""),348.68)</f>
        <v>348.68</v>
      </c>
      <c r="F685" s="3">
        <f>IFERROR(__xludf.DUMMYFUNCTION("""COMPUTED_VALUE"""),1.90716815E8)</f>
        <v>190716815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">
        <f>IFERROR(__xludf.DUMMYFUNCTION("""COMPUTED_VALUE"""),45832.66666666667)</f>
        <v>45832.66667</v>
      </c>
      <c r="B686" s="3">
        <f>IFERROR(__xludf.DUMMYFUNCTION("""COMPUTED_VALUE"""),356.17)</f>
        <v>356.17</v>
      </c>
      <c r="C686" s="3">
        <f>IFERROR(__xludf.DUMMYFUNCTION("""COMPUTED_VALUE"""),356.26)</f>
        <v>356.26</v>
      </c>
      <c r="D686" s="3">
        <f>IFERROR(__xludf.DUMMYFUNCTION("""COMPUTED_VALUE"""),340.44)</f>
        <v>340.44</v>
      </c>
      <c r="E686" s="3">
        <f>IFERROR(__xludf.DUMMYFUNCTION("""COMPUTED_VALUE"""),340.47)</f>
        <v>340.47</v>
      </c>
      <c r="F686" s="3">
        <f>IFERROR(__xludf.DUMMYFUNCTION("""COMPUTED_VALUE"""),1.14736245E8)</f>
        <v>114736245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">
        <f>IFERROR(__xludf.DUMMYFUNCTION("""COMPUTED_VALUE"""),45833.66666666667)</f>
        <v>45833.66667</v>
      </c>
      <c r="B687" s="3">
        <f>IFERROR(__xludf.DUMMYFUNCTION("""COMPUTED_VALUE"""),342.7)</f>
        <v>342.7</v>
      </c>
      <c r="C687" s="3">
        <f>IFERROR(__xludf.DUMMYFUNCTION("""COMPUTED_VALUE"""),343.0)</f>
        <v>343</v>
      </c>
      <c r="D687" s="3">
        <f>IFERROR(__xludf.DUMMYFUNCTION("""COMPUTED_VALUE"""),320.4)</f>
        <v>320.4</v>
      </c>
      <c r="E687" s="3">
        <f>IFERROR(__xludf.DUMMYFUNCTION("""COMPUTED_VALUE"""),327.55)</f>
        <v>327.55</v>
      </c>
      <c r="F687" s="3">
        <f>IFERROR(__xludf.DUMMYFUNCTION("""COMPUTED_VALUE"""),1.1984505E8)</f>
        <v>119845050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">
        <f>IFERROR(__xludf.DUMMYFUNCTION("""COMPUTED_VALUE"""),45834.66666666667)</f>
        <v>45834.66667</v>
      </c>
      <c r="B688" s="3">
        <f>IFERROR(__xludf.DUMMYFUNCTION("""COMPUTED_VALUE"""),324.61)</f>
        <v>324.61</v>
      </c>
      <c r="C688" s="3">
        <f>IFERROR(__xludf.DUMMYFUNCTION("""COMPUTED_VALUE"""),331.05)</f>
        <v>331.05</v>
      </c>
      <c r="D688" s="3">
        <f>IFERROR(__xludf.DUMMYFUNCTION("""COMPUTED_VALUE"""),323.61)</f>
        <v>323.61</v>
      </c>
      <c r="E688" s="3">
        <f>IFERROR(__xludf.DUMMYFUNCTION("""COMPUTED_VALUE"""),325.78)</f>
        <v>325.78</v>
      </c>
      <c r="F688" s="3">
        <f>IFERROR(__xludf.DUMMYFUNCTION("""COMPUTED_VALUE"""),8.0440907E7)</f>
        <v>80440907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">
        <f>IFERROR(__xludf.DUMMYFUNCTION("""COMPUTED_VALUE"""),45835.66666666667)</f>
        <v>45835.66667</v>
      </c>
      <c r="B689" s="3">
        <f>IFERROR(__xludf.DUMMYFUNCTION("""COMPUTED_VALUE"""),324.51)</f>
        <v>324.51</v>
      </c>
      <c r="C689" s="3">
        <f>IFERROR(__xludf.DUMMYFUNCTION("""COMPUTED_VALUE"""),329.34)</f>
        <v>329.34</v>
      </c>
      <c r="D689" s="3">
        <f>IFERROR(__xludf.DUMMYFUNCTION("""COMPUTED_VALUE"""),317.5)</f>
        <v>317.5</v>
      </c>
      <c r="E689" s="3">
        <f>IFERROR(__xludf.DUMMYFUNCTION("""COMPUTED_VALUE"""),323.63)</f>
        <v>323.63</v>
      </c>
      <c r="F689" s="3">
        <f>IFERROR(__xludf.DUMMYFUNCTION("""COMPUTED_VALUE"""),8.9067049E7)</f>
        <v>89067049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">
        <f>IFERROR(__xludf.DUMMYFUNCTION("""COMPUTED_VALUE"""),45838.66666666667)</f>
        <v>45838.66667</v>
      </c>
      <c r="B690" s="3">
        <f>IFERROR(__xludf.DUMMYFUNCTION("""COMPUTED_VALUE"""),319.9)</f>
        <v>319.9</v>
      </c>
      <c r="C690" s="3">
        <f>IFERROR(__xludf.DUMMYFUNCTION("""COMPUTED_VALUE"""),325.58)</f>
        <v>325.58</v>
      </c>
      <c r="D690" s="3">
        <f>IFERROR(__xludf.DUMMYFUNCTION("""COMPUTED_VALUE"""),316.6)</f>
        <v>316.6</v>
      </c>
      <c r="E690" s="3">
        <f>IFERROR(__xludf.DUMMYFUNCTION("""COMPUTED_VALUE"""),317.66)</f>
        <v>317.66</v>
      </c>
      <c r="F690" s="3">
        <f>IFERROR(__xludf.DUMMYFUNCTION("""COMPUTED_VALUE"""),7.6695081E7)</f>
        <v>76695081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">
        <f>IFERROR(__xludf.DUMMYFUNCTION("""COMPUTED_VALUE"""),45839.66666666667)</f>
        <v>45839.66667</v>
      </c>
      <c r="B691" s="3">
        <f>IFERROR(__xludf.DUMMYFUNCTION("""COMPUTED_VALUE"""),298.46)</f>
        <v>298.46</v>
      </c>
      <c r="C691" s="3">
        <f>IFERROR(__xludf.DUMMYFUNCTION("""COMPUTED_VALUE"""),305.89)</f>
        <v>305.89</v>
      </c>
      <c r="D691" s="3">
        <f>IFERROR(__xludf.DUMMYFUNCTION("""COMPUTED_VALUE"""),293.21)</f>
        <v>293.21</v>
      </c>
      <c r="E691" s="3">
        <f>IFERROR(__xludf.DUMMYFUNCTION("""COMPUTED_VALUE"""),300.71)</f>
        <v>300.71</v>
      </c>
      <c r="F691" s="3">
        <f>IFERROR(__xludf.DUMMYFUNCTION("""COMPUTED_VALUE"""),1.45085665E8)</f>
        <v>145085665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">
        <f>IFERROR(__xludf.DUMMYFUNCTION("""COMPUTED_VALUE"""),45840.66666666667)</f>
        <v>45840.66667</v>
      </c>
      <c r="B692" s="3">
        <f>IFERROR(__xludf.DUMMYFUNCTION("""COMPUTED_VALUE"""),312.63)</f>
        <v>312.63</v>
      </c>
      <c r="C692" s="3">
        <f>IFERROR(__xludf.DUMMYFUNCTION("""COMPUTED_VALUE"""),316.83)</f>
        <v>316.83</v>
      </c>
      <c r="D692" s="3">
        <f>IFERROR(__xludf.DUMMYFUNCTION("""COMPUTED_VALUE"""),303.82)</f>
        <v>303.82</v>
      </c>
      <c r="E692" s="3">
        <f>IFERROR(__xludf.DUMMYFUNCTION("""COMPUTED_VALUE"""),315.65)</f>
        <v>315.65</v>
      </c>
      <c r="F692" s="3">
        <f>IFERROR(__xludf.DUMMYFUNCTION("""COMPUTED_VALUE"""),1.1948373E8)</f>
        <v>119483730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">
        <f>IFERROR(__xludf.DUMMYFUNCTION("""COMPUTED_VALUE"""),45841.54513888889)</f>
        <v>45841.54514</v>
      </c>
      <c r="B693" s="3">
        <f>IFERROR(__xludf.DUMMYFUNCTION("""COMPUTED_VALUE"""),317.99)</f>
        <v>317.99</v>
      </c>
      <c r="C693" s="3">
        <f>IFERROR(__xludf.DUMMYFUNCTION("""COMPUTED_VALUE"""),318.45)</f>
        <v>318.45</v>
      </c>
      <c r="D693" s="3">
        <f>IFERROR(__xludf.DUMMYFUNCTION("""COMPUTED_VALUE"""),312.76)</f>
        <v>312.76</v>
      </c>
      <c r="E693" s="3">
        <f>IFERROR(__xludf.DUMMYFUNCTION("""COMPUTED_VALUE"""),315.35)</f>
        <v>315.35</v>
      </c>
      <c r="F693" s="3">
        <f>IFERROR(__xludf.DUMMYFUNCTION("""COMPUTED_VALUE"""),5.8042302E7)</f>
        <v>58042302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">
        <f>IFERROR(__xludf.DUMMYFUNCTION("""COMPUTED_VALUE"""),45845.66666666667)</f>
        <v>45845.66667</v>
      </c>
      <c r="B694" s="3">
        <f>IFERROR(__xludf.DUMMYFUNCTION("""COMPUTED_VALUE"""),291.37)</f>
        <v>291.37</v>
      </c>
      <c r="C694" s="3">
        <f>IFERROR(__xludf.DUMMYFUNCTION("""COMPUTED_VALUE"""),296.15)</f>
        <v>296.15</v>
      </c>
      <c r="D694" s="3">
        <f>IFERROR(__xludf.DUMMYFUNCTION("""COMPUTED_VALUE"""),288.77)</f>
        <v>288.77</v>
      </c>
      <c r="E694" s="3">
        <f>IFERROR(__xludf.DUMMYFUNCTION("""COMPUTED_VALUE"""),293.94)</f>
        <v>293.94</v>
      </c>
      <c r="F694" s="3">
        <f>IFERROR(__xludf.DUMMYFUNCTION("""COMPUTED_VALUE"""),1.31177949E8)</f>
        <v>131177949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">
        <f>IFERROR(__xludf.DUMMYFUNCTION("""COMPUTED_VALUE"""),45846.66666666667)</f>
        <v>45846.66667</v>
      </c>
      <c r="B695" s="3">
        <f>IFERROR(__xludf.DUMMYFUNCTION("""COMPUTED_VALUE"""),297.0)</f>
        <v>297</v>
      </c>
      <c r="C695" s="3">
        <f>IFERROR(__xludf.DUMMYFUNCTION("""COMPUTED_VALUE"""),304.05)</f>
        <v>304.05</v>
      </c>
      <c r="D695" s="3">
        <f>IFERROR(__xludf.DUMMYFUNCTION("""COMPUTED_VALUE"""),294.35)</f>
        <v>294.35</v>
      </c>
      <c r="E695" s="3">
        <f>IFERROR(__xludf.DUMMYFUNCTION("""COMPUTED_VALUE"""),297.81)</f>
        <v>297.81</v>
      </c>
      <c r="F695" s="3">
        <f>IFERROR(__xludf.DUMMYFUNCTION("""COMPUTED_VALUE"""),1.03246742E8)</f>
        <v>103246742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">
        <f>IFERROR(__xludf.DUMMYFUNCTION("""COMPUTED_VALUE"""),45847.66666666667)</f>
        <v>45847.66667</v>
      </c>
      <c r="B696" s="3">
        <f>IFERROR(__xludf.DUMMYFUNCTION("""COMPUTED_VALUE"""),297.55)</f>
        <v>297.55</v>
      </c>
      <c r="C696" s="3">
        <f>IFERROR(__xludf.DUMMYFUNCTION("""COMPUTED_VALUE"""),300.15)</f>
        <v>300.15</v>
      </c>
      <c r="D696" s="3">
        <f>IFERROR(__xludf.DUMMYFUNCTION("""COMPUTED_VALUE"""),293.55)</f>
        <v>293.55</v>
      </c>
      <c r="E696" s="3">
        <f>IFERROR(__xludf.DUMMYFUNCTION("""COMPUTED_VALUE"""),295.88)</f>
        <v>295.88</v>
      </c>
      <c r="F696" s="3">
        <f>IFERROR(__xludf.DUMMYFUNCTION("""COMPUTED_VALUE"""),7.5586771E7)</f>
        <v>75586771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">
        <f>IFERROR(__xludf.DUMMYFUNCTION("""COMPUTED_VALUE"""),45848.66666666667)</f>
        <v>45848.66667</v>
      </c>
      <c r="B697" s="3">
        <f>IFERROR(__xludf.DUMMYFUNCTION("""COMPUTED_VALUE"""),300.05)</f>
        <v>300.05</v>
      </c>
      <c r="C697" s="3">
        <f>IFERROR(__xludf.DUMMYFUNCTION("""COMPUTED_VALUE"""),310.48)</f>
        <v>310.48</v>
      </c>
      <c r="D697" s="3">
        <f>IFERROR(__xludf.DUMMYFUNCTION("""COMPUTED_VALUE"""),300.0)</f>
        <v>300</v>
      </c>
      <c r="E697" s="3">
        <f>IFERROR(__xludf.DUMMYFUNCTION("""COMPUTED_VALUE"""),309.87)</f>
        <v>309.87</v>
      </c>
      <c r="F697" s="3">
        <f>IFERROR(__xludf.DUMMYFUNCTION("""COMPUTED_VALUE"""),1.04365271E8)</f>
        <v>104365271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">
        <f>IFERROR(__xludf.DUMMYFUNCTION("""COMPUTED_VALUE"""),45849.66666666667)</f>
        <v>45849.66667</v>
      </c>
      <c r="B698" s="3">
        <f>IFERROR(__xludf.DUMMYFUNCTION("""COMPUTED_VALUE"""),307.89)</f>
        <v>307.89</v>
      </c>
      <c r="C698" s="3">
        <f>IFERROR(__xludf.DUMMYFUNCTION("""COMPUTED_VALUE"""),314.09)</f>
        <v>314.09</v>
      </c>
      <c r="D698" s="3">
        <f>IFERROR(__xludf.DUMMYFUNCTION("""COMPUTED_VALUE"""),305.65)</f>
        <v>305.65</v>
      </c>
      <c r="E698" s="3">
        <f>IFERROR(__xludf.DUMMYFUNCTION("""COMPUTED_VALUE"""),313.51)</f>
        <v>313.51</v>
      </c>
      <c r="F698" s="3">
        <f>IFERROR(__xludf.DUMMYFUNCTION("""COMPUTED_VALUE"""),7.9236442E7)</f>
        <v>79236442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">
        <f>IFERROR(__xludf.DUMMYFUNCTION("""COMPUTED_VALUE"""),45852.66666666667)</f>
        <v>45852.66667</v>
      </c>
      <c r="B699" s="3">
        <f>IFERROR(__xludf.DUMMYFUNCTION("""COMPUTED_VALUE"""),317.73)</f>
        <v>317.73</v>
      </c>
      <c r="C699" s="3">
        <f>IFERROR(__xludf.DUMMYFUNCTION("""COMPUTED_VALUE"""),322.6)</f>
        <v>322.6</v>
      </c>
      <c r="D699" s="3">
        <f>IFERROR(__xludf.DUMMYFUNCTION("""COMPUTED_VALUE"""),312.67)</f>
        <v>312.67</v>
      </c>
      <c r="E699" s="3">
        <f>IFERROR(__xludf.DUMMYFUNCTION("""COMPUTED_VALUE"""),316.9)</f>
        <v>316.9</v>
      </c>
      <c r="F699" s="3">
        <f>IFERROR(__xludf.DUMMYFUNCTION("""COMPUTED_VALUE"""),7.804343E7)</f>
        <v>78043430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">
        <f>IFERROR(__xludf.DUMMYFUNCTION("""COMPUTED_VALUE"""),45853.66666666667)</f>
        <v>45853.66667</v>
      </c>
      <c r="B700" s="3">
        <f>IFERROR(__xludf.DUMMYFUNCTION("""COMPUTED_VALUE"""),319.68)</f>
        <v>319.68</v>
      </c>
      <c r="C700" s="3">
        <f>IFERROR(__xludf.DUMMYFUNCTION("""COMPUTED_VALUE"""),321.2)</f>
        <v>321.2</v>
      </c>
      <c r="D700" s="3">
        <f>IFERROR(__xludf.DUMMYFUNCTION("""COMPUTED_VALUE"""),310.5)</f>
        <v>310.5</v>
      </c>
      <c r="E700" s="3">
        <f>IFERROR(__xludf.DUMMYFUNCTION("""COMPUTED_VALUE"""),310.78)</f>
        <v>310.78</v>
      </c>
      <c r="F700" s="3">
        <f>IFERROR(__xludf.DUMMYFUNCTION("""COMPUTED_VALUE"""),7.7556346E7)</f>
        <v>77556346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">
        <f>IFERROR(__xludf.DUMMYFUNCTION("""COMPUTED_VALUE"""),45854.66666666667)</f>
        <v>45854.66667</v>
      </c>
      <c r="B701" s="3">
        <f>IFERROR(__xludf.DUMMYFUNCTION("""COMPUTED_VALUE"""),312.8)</f>
        <v>312.8</v>
      </c>
      <c r="C701" s="3">
        <f>IFERROR(__xludf.DUMMYFUNCTION("""COMPUTED_VALUE"""),323.5)</f>
        <v>323.5</v>
      </c>
      <c r="D701" s="3">
        <f>IFERROR(__xludf.DUMMYFUNCTION("""COMPUTED_VALUE"""),312.62)</f>
        <v>312.62</v>
      </c>
      <c r="E701" s="3">
        <f>IFERROR(__xludf.DUMMYFUNCTION("""COMPUTED_VALUE"""),321.67)</f>
        <v>321.67</v>
      </c>
      <c r="F701" s="3">
        <f>IFERROR(__xludf.DUMMYFUNCTION("""COMPUTED_VALUE"""),9.7284786E7)</f>
        <v>97284786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">
        <f>IFERROR(__xludf.DUMMYFUNCTION("""COMPUTED_VALUE"""),45855.66666666667)</f>
        <v>45855.66667</v>
      </c>
      <c r="B702" s="3">
        <f>IFERROR(__xludf.DUMMYFUNCTION("""COMPUTED_VALUE"""),323.15)</f>
        <v>323.15</v>
      </c>
      <c r="C702" s="3">
        <f>IFERROR(__xludf.DUMMYFUNCTION("""COMPUTED_VALUE"""),324.34)</f>
        <v>324.34</v>
      </c>
      <c r="D702" s="3">
        <f>IFERROR(__xludf.DUMMYFUNCTION("""COMPUTED_VALUE"""),317.06)</f>
        <v>317.06</v>
      </c>
      <c r="E702" s="3">
        <f>IFERROR(__xludf.DUMMYFUNCTION("""COMPUTED_VALUE"""),319.41)</f>
        <v>319.41</v>
      </c>
      <c r="F702" s="3">
        <f>IFERROR(__xludf.DUMMYFUNCTION("""COMPUTED_VALUE"""),7.392287E7)</f>
        <v>73922870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">
        <f>IFERROR(__xludf.DUMMYFUNCTION("""COMPUTED_VALUE"""),45856.66666666667)</f>
        <v>45856.66667</v>
      </c>
      <c r="B703" s="3">
        <f>IFERROR(__xludf.DUMMYFUNCTION("""COMPUTED_VALUE"""),321.66)</f>
        <v>321.66</v>
      </c>
      <c r="C703" s="3">
        <f>IFERROR(__xludf.DUMMYFUNCTION("""COMPUTED_VALUE"""),330.9)</f>
        <v>330.9</v>
      </c>
      <c r="D703" s="3">
        <f>IFERROR(__xludf.DUMMYFUNCTION("""COMPUTED_VALUE"""),321.42)</f>
        <v>321.42</v>
      </c>
      <c r="E703" s="3">
        <f>IFERROR(__xludf.DUMMYFUNCTION("""COMPUTED_VALUE"""),329.65)</f>
        <v>329.65</v>
      </c>
      <c r="F703" s="3">
        <f>IFERROR(__xludf.DUMMYFUNCTION("""COMPUTED_VALUE"""),9.4254993E7)</f>
        <v>94254993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">
        <f>IFERROR(__xludf.DUMMYFUNCTION("""COMPUTED_VALUE"""),45859.66666666667)</f>
        <v>45859.66667</v>
      </c>
      <c r="B704" s="3">
        <f>IFERROR(__xludf.DUMMYFUNCTION("""COMPUTED_VALUE"""),334.4)</f>
        <v>334.4</v>
      </c>
      <c r="C704" s="3">
        <f>IFERROR(__xludf.DUMMYFUNCTION("""COMPUTED_VALUE"""),338.0)</f>
        <v>338</v>
      </c>
      <c r="D704" s="3">
        <f>IFERROR(__xludf.DUMMYFUNCTION("""COMPUTED_VALUE"""),326.88)</f>
        <v>326.88</v>
      </c>
      <c r="E704" s="3">
        <f>IFERROR(__xludf.DUMMYFUNCTION("""COMPUTED_VALUE"""),328.49)</f>
        <v>328.49</v>
      </c>
      <c r="F704" s="3">
        <f>IFERROR(__xludf.DUMMYFUNCTION("""COMPUTED_VALUE"""),7.5768797E7)</f>
        <v>75768797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">
        <f>IFERROR(__xludf.DUMMYFUNCTION("""COMPUTED_VALUE"""),45860.66666666667)</f>
        <v>45860.66667</v>
      </c>
      <c r="B705" s="3">
        <f>IFERROR(__xludf.DUMMYFUNCTION("""COMPUTED_VALUE"""),329.74)</f>
        <v>329.74</v>
      </c>
      <c r="C705" s="3">
        <f>IFERROR(__xludf.DUMMYFUNCTION("""COMPUTED_VALUE"""),335.41)</f>
        <v>335.41</v>
      </c>
      <c r="D705" s="3">
        <f>IFERROR(__xludf.DUMMYFUNCTION("""COMPUTED_VALUE"""),321.55)</f>
        <v>321.55</v>
      </c>
      <c r="E705" s="3">
        <f>IFERROR(__xludf.DUMMYFUNCTION("""COMPUTED_VALUE"""),332.11)</f>
        <v>332.11</v>
      </c>
      <c r="F705" s="3">
        <f>IFERROR(__xludf.DUMMYFUNCTION("""COMPUTED_VALUE"""),7.7370371E7)</f>
        <v>77370371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">
        <f>IFERROR(__xludf.DUMMYFUNCTION("""COMPUTED_VALUE"""),45861.66666666667)</f>
        <v>45861.66667</v>
      </c>
      <c r="B706" s="3">
        <f>IFERROR(__xludf.DUMMYFUNCTION("""COMPUTED_VALUE"""),330.9)</f>
        <v>330.9</v>
      </c>
      <c r="C706" s="3">
        <f>IFERROR(__xludf.DUMMYFUNCTION("""COMPUTED_VALUE"""),336.2)</f>
        <v>336.2</v>
      </c>
      <c r="D706" s="3">
        <f>IFERROR(__xludf.DUMMYFUNCTION("""COMPUTED_VALUE"""),328.67)</f>
        <v>328.67</v>
      </c>
      <c r="E706" s="3">
        <f>IFERROR(__xludf.DUMMYFUNCTION("""COMPUTED_VALUE"""),332.56)</f>
        <v>332.56</v>
      </c>
      <c r="F706" s="3">
        <f>IFERROR(__xludf.DUMMYFUNCTION("""COMPUTED_VALUE"""),9.2553756E7)</f>
        <v>92553756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">
        <f>IFERROR(__xludf.DUMMYFUNCTION("""COMPUTED_VALUE"""),45862.66666666667)</f>
        <v>45862.66667</v>
      </c>
      <c r="B707" s="3">
        <f>IFERROR(__xludf.DUMMYFUNCTION("""COMPUTED_VALUE"""),310.0)</f>
        <v>310</v>
      </c>
      <c r="C707" s="3">
        <f>IFERROR(__xludf.DUMMYFUNCTION("""COMPUTED_VALUE"""),310.15)</f>
        <v>310.15</v>
      </c>
      <c r="D707" s="3">
        <f>IFERROR(__xludf.DUMMYFUNCTION("""COMPUTED_VALUE"""),300.41)</f>
        <v>300.41</v>
      </c>
      <c r="E707" s="3">
        <f>IFERROR(__xludf.DUMMYFUNCTION("""COMPUTED_VALUE"""),305.3)</f>
        <v>305.3</v>
      </c>
      <c r="F707" s="3">
        <f>IFERROR(__xludf.DUMMYFUNCTION("""COMPUTED_VALUE"""),1.56966023E8)</f>
        <v>156966023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">
        <f>IFERROR(__xludf.DUMMYFUNCTION("""COMPUTED_VALUE"""),45863.66666666667)</f>
        <v>45863.66667</v>
      </c>
      <c r="B708" s="3">
        <f>IFERROR(__xludf.DUMMYFUNCTION("""COMPUTED_VALUE"""),308.74)</f>
        <v>308.74</v>
      </c>
      <c r="C708" s="3">
        <f>IFERROR(__xludf.DUMMYFUNCTION("""COMPUTED_VALUE"""),323.63)</f>
        <v>323.63</v>
      </c>
      <c r="D708" s="3">
        <f>IFERROR(__xludf.DUMMYFUNCTION("""COMPUTED_VALUE"""),308.01)</f>
        <v>308.01</v>
      </c>
      <c r="E708" s="3">
        <f>IFERROR(__xludf.DUMMYFUNCTION("""COMPUTED_VALUE"""),316.06)</f>
        <v>316.06</v>
      </c>
      <c r="F708" s="3">
        <f>IFERROR(__xludf.DUMMYFUNCTION("""COMPUTED_VALUE"""),1.48227027E8)</f>
        <v>148227027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">
        <f>IFERROR(__xludf.DUMMYFUNCTION("""COMPUTED_VALUE"""),45866.66666666667)</f>
        <v>45866.66667</v>
      </c>
      <c r="B709" s="3">
        <f>IFERROR(__xludf.DUMMYFUNCTION("""COMPUTED_VALUE"""),318.45)</f>
        <v>318.45</v>
      </c>
      <c r="C709" s="3">
        <f>IFERROR(__xludf.DUMMYFUNCTION("""COMPUTED_VALUE"""),330.49)</f>
        <v>330.49</v>
      </c>
      <c r="D709" s="3">
        <f>IFERROR(__xludf.DUMMYFUNCTION("""COMPUTED_VALUE"""),315.69)</f>
        <v>315.69</v>
      </c>
      <c r="E709" s="3">
        <f>IFERROR(__xludf.DUMMYFUNCTION("""COMPUTED_VALUE"""),325.59)</f>
        <v>325.59</v>
      </c>
      <c r="F709" s="3">
        <f>IFERROR(__xludf.DUMMYFUNCTION("""COMPUTED_VALUE"""),1.12673755E8)</f>
        <v>112673755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">
        <f>IFERROR(__xludf.DUMMYFUNCTION("""COMPUTED_VALUE"""),45867.66666666667)</f>
        <v>45867.66667</v>
      </c>
      <c r="B710" s="3">
        <f>IFERROR(__xludf.DUMMYFUNCTION("""COMPUTED_VALUE"""),325.55)</f>
        <v>325.55</v>
      </c>
      <c r="C710" s="3">
        <f>IFERROR(__xludf.DUMMYFUNCTION("""COMPUTED_VALUE"""),326.25)</f>
        <v>326.25</v>
      </c>
      <c r="D710" s="3">
        <f>IFERROR(__xludf.DUMMYFUNCTION("""COMPUTED_VALUE"""),318.25)</f>
        <v>318.25</v>
      </c>
      <c r="E710" s="3">
        <f>IFERROR(__xludf.DUMMYFUNCTION("""COMPUTED_VALUE"""),321.2)</f>
        <v>321.2</v>
      </c>
      <c r="F710" s="3">
        <f>IFERROR(__xludf.DUMMYFUNCTION("""COMPUTED_VALUE"""),8.7358861E7)</f>
        <v>87358861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">
        <f>IFERROR(__xludf.DUMMYFUNCTION("""COMPUTED_VALUE"""),45868.66666666667)</f>
        <v>45868.66667</v>
      </c>
      <c r="B711" s="3">
        <f>IFERROR(__xludf.DUMMYFUNCTION("""COMPUTED_VALUE"""),322.18)</f>
        <v>322.18</v>
      </c>
      <c r="C711" s="3">
        <f>IFERROR(__xludf.DUMMYFUNCTION("""COMPUTED_VALUE"""),324.45)</f>
        <v>324.45</v>
      </c>
      <c r="D711" s="3">
        <f>IFERROR(__xludf.DUMMYFUNCTION("""COMPUTED_VALUE"""),311.62)</f>
        <v>311.62</v>
      </c>
      <c r="E711" s="3">
        <f>IFERROR(__xludf.DUMMYFUNCTION("""COMPUTED_VALUE"""),319.04)</f>
        <v>319.04</v>
      </c>
      <c r="F711" s="3">
        <f>IFERROR(__xludf.DUMMYFUNCTION("""COMPUTED_VALUE"""),8.3931942E7)</f>
        <v>83931942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">
        <f>IFERROR(__xludf.DUMMYFUNCTION("""COMPUTED_VALUE"""),45869.66666666667)</f>
        <v>45869.66667</v>
      </c>
      <c r="B712" s="3">
        <f>IFERROR(__xludf.DUMMYFUNCTION("""COMPUTED_VALUE"""),319.61)</f>
        <v>319.61</v>
      </c>
      <c r="C712" s="3">
        <f>IFERROR(__xludf.DUMMYFUNCTION("""COMPUTED_VALUE"""),321.37)</f>
        <v>321.37</v>
      </c>
      <c r="D712" s="3">
        <f>IFERROR(__xludf.DUMMYFUNCTION("""COMPUTED_VALUE"""),306.1)</f>
        <v>306.1</v>
      </c>
      <c r="E712" s="3">
        <f>IFERROR(__xludf.DUMMYFUNCTION("""COMPUTED_VALUE"""),308.27)</f>
        <v>308.27</v>
      </c>
      <c r="F712" s="3">
        <f>IFERROR(__xludf.DUMMYFUNCTION("""COMPUTED_VALUE"""),8.5270919E7)</f>
        <v>85270919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">
        <f>IFERROR(__xludf.DUMMYFUNCTION("""COMPUTED_VALUE"""),45870.66666666667)</f>
        <v>45870.66667</v>
      </c>
      <c r="B713" s="3">
        <f>IFERROR(__xludf.DUMMYFUNCTION("""COMPUTED_VALUE"""),306.21)</f>
        <v>306.21</v>
      </c>
      <c r="C713" s="3">
        <f>IFERROR(__xludf.DUMMYFUNCTION("""COMPUTED_VALUE"""),309.31)</f>
        <v>309.31</v>
      </c>
      <c r="D713" s="3">
        <f>IFERROR(__xludf.DUMMYFUNCTION("""COMPUTED_VALUE"""),297.82)</f>
        <v>297.82</v>
      </c>
      <c r="E713" s="3">
        <f>IFERROR(__xludf.DUMMYFUNCTION("""COMPUTED_VALUE"""),302.63)</f>
        <v>302.63</v>
      </c>
      <c r="F713" s="3">
        <f>IFERROR(__xludf.DUMMYFUNCTION("""COMPUTED_VALUE"""),8.9121446E7)</f>
        <v>89121446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">
        <f>IFERROR(__xludf.DUMMYFUNCTION("""COMPUTED_VALUE"""),45873.66666666667)</f>
        <v>45873.66667</v>
      </c>
      <c r="B714" s="3">
        <f>IFERROR(__xludf.DUMMYFUNCTION("""COMPUTED_VALUE"""),309.08)</f>
        <v>309.08</v>
      </c>
      <c r="C714" s="3">
        <f>IFERROR(__xludf.DUMMYFUNCTION("""COMPUTED_VALUE"""),312.12)</f>
        <v>312.12</v>
      </c>
      <c r="D714" s="3">
        <f>IFERROR(__xludf.DUMMYFUNCTION("""COMPUTED_VALUE"""),303.0)</f>
        <v>303</v>
      </c>
      <c r="E714" s="3">
        <f>IFERROR(__xludf.DUMMYFUNCTION("""COMPUTED_VALUE"""),309.26)</f>
        <v>309.26</v>
      </c>
      <c r="F714" s="3">
        <f>IFERROR(__xludf.DUMMYFUNCTION("""COMPUTED_VALUE"""),7.8683905E7)</f>
        <v>78683905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">
        <f>IFERROR(__xludf.DUMMYFUNCTION("""COMPUTED_VALUE"""),45874.66666666667)</f>
        <v>45874.66667</v>
      </c>
      <c r="B715" s="3">
        <f>IFERROR(__xludf.DUMMYFUNCTION("""COMPUTED_VALUE"""),308.95)</f>
        <v>308.95</v>
      </c>
      <c r="C715" s="3">
        <f>IFERROR(__xludf.DUMMYFUNCTION("""COMPUTED_VALUE"""),312.45)</f>
        <v>312.45</v>
      </c>
      <c r="D715" s="3">
        <f>IFERROR(__xludf.DUMMYFUNCTION("""COMPUTED_VALUE"""),305.5)</f>
        <v>305.5</v>
      </c>
      <c r="E715" s="3">
        <f>IFERROR(__xludf.DUMMYFUNCTION("""COMPUTED_VALUE"""),308.72)</f>
        <v>308.72</v>
      </c>
      <c r="F715" s="3">
        <f>IFERROR(__xludf.DUMMYFUNCTION("""COMPUTED_VALUE"""),5.7961278E7)</f>
        <v>57961278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">
        <f>IFERROR(__xludf.DUMMYFUNCTION("""COMPUTED_VALUE"""),45875.66666666667)</f>
        <v>45875.66667</v>
      </c>
      <c r="B716" s="3">
        <f>IFERROR(__xludf.DUMMYFUNCTION("""COMPUTED_VALUE"""),307.89)</f>
        <v>307.89</v>
      </c>
      <c r="C716" s="3">
        <f>IFERROR(__xludf.DUMMYFUNCTION("""COMPUTED_VALUE"""),320.47)</f>
        <v>320.47</v>
      </c>
      <c r="D716" s="3">
        <f>IFERROR(__xludf.DUMMYFUNCTION("""COMPUTED_VALUE"""),306.93)</f>
        <v>306.93</v>
      </c>
      <c r="E716" s="3">
        <f>IFERROR(__xludf.DUMMYFUNCTION("""COMPUTED_VALUE"""),319.91)</f>
        <v>319.91</v>
      </c>
      <c r="F716" s="3">
        <f>IFERROR(__xludf.DUMMYFUNCTION("""COMPUTED_VALUE"""),7.8523579E7)</f>
        <v>78523579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">
        <f>IFERROR(__xludf.DUMMYFUNCTION("""COMPUTED_VALUE"""),45876.66666666667)</f>
        <v>45876.66667</v>
      </c>
      <c r="B717" s="3">
        <f>IFERROR(__xludf.DUMMYFUNCTION("""COMPUTED_VALUE"""),319.79)</f>
        <v>319.79</v>
      </c>
      <c r="C717" s="3">
        <f>IFERROR(__xludf.DUMMYFUNCTION("""COMPUTED_VALUE"""),322.4)</f>
        <v>322.4</v>
      </c>
      <c r="D717" s="3">
        <f>IFERROR(__xludf.DUMMYFUNCTION("""COMPUTED_VALUE"""),316.16)</f>
        <v>316.16</v>
      </c>
      <c r="E717" s="3">
        <f>IFERROR(__xludf.DUMMYFUNCTION("""COMPUTED_VALUE"""),322.27)</f>
        <v>322.27</v>
      </c>
      <c r="F717" s="3">
        <f>IFERROR(__xludf.DUMMYFUNCTION("""COMPUTED_VALUE"""),6.6658672E7)</f>
        <v>66658672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">
        <f>IFERROR(__xludf.DUMMYFUNCTION("""COMPUTED_VALUE"""),45877.66666666667)</f>
        <v>45877.66667</v>
      </c>
      <c r="B718" s="3">
        <f>IFERROR(__xludf.DUMMYFUNCTION("""COMPUTED_VALUE"""),321.43)</f>
        <v>321.43</v>
      </c>
      <c r="C718" s="3">
        <f>IFERROR(__xludf.DUMMYFUNCTION("""COMPUTED_VALUE"""),335.15)</f>
        <v>335.15</v>
      </c>
      <c r="D718" s="3">
        <f>IFERROR(__xludf.DUMMYFUNCTION("""COMPUTED_VALUE"""),320.98)</f>
        <v>320.98</v>
      </c>
      <c r="E718" s="3">
        <f>IFERROR(__xludf.DUMMYFUNCTION("""COMPUTED_VALUE"""),329.65)</f>
        <v>329.65</v>
      </c>
      <c r="F718" s="3">
        <f>IFERROR(__xludf.DUMMYFUNCTION("""COMPUTED_VALUE"""),9.1200319E7)</f>
        <v>91200319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">
        <f>IFERROR(__xludf.DUMMYFUNCTION("""COMPUTED_VALUE"""),45880.66666666667)</f>
        <v>45880.66667</v>
      </c>
      <c r="B719" s="3">
        <f>IFERROR(__xludf.DUMMYFUNCTION("""COMPUTED_VALUE"""),335.0)</f>
        <v>335</v>
      </c>
      <c r="C719" s="3">
        <f>IFERROR(__xludf.DUMMYFUNCTION("""COMPUTED_VALUE"""),346.64)</f>
        <v>346.64</v>
      </c>
      <c r="D719" s="3">
        <f>IFERROR(__xludf.DUMMYFUNCTION("""COMPUTED_VALUE"""),334.15)</f>
        <v>334.15</v>
      </c>
      <c r="E719" s="3">
        <f>IFERROR(__xludf.DUMMYFUNCTION("""COMPUTED_VALUE"""),339.03)</f>
        <v>339.03</v>
      </c>
      <c r="F719" s="3">
        <f>IFERROR(__xludf.DUMMYFUNCTION("""COMPUTED_VALUE"""),1.05320174E8)</f>
        <v>105320174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">
        <f>IFERROR(__xludf.DUMMYFUNCTION("""COMPUTED_VALUE"""),45881.66666666667)</f>
        <v>45881.66667</v>
      </c>
      <c r="B720" s="3">
        <f>IFERROR(__xludf.DUMMYFUNCTION("""COMPUTED_VALUE"""),345.0)</f>
        <v>345</v>
      </c>
      <c r="C720" s="3">
        <f>IFERROR(__xludf.DUMMYFUNCTION("""COMPUTED_VALUE"""),345.26)</f>
        <v>345.26</v>
      </c>
      <c r="D720" s="3">
        <f>IFERROR(__xludf.DUMMYFUNCTION("""COMPUTED_VALUE"""),332.94)</f>
        <v>332.94</v>
      </c>
      <c r="E720" s="3">
        <f>IFERROR(__xludf.DUMMYFUNCTION("""COMPUTED_VALUE"""),340.84)</f>
        <v>340.84</v>
      </c>
      <c r="F720" s="3">
        <f>IFERROR(__xludf.DUMMYFUNCTION("""COMPUTED_VALUE"""),8.0690111E7)</f>
        <v>80690111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">
        <f>IFERROR(__xludf.DUMMYFUNCTION("""COMPUTED_VALUE"""),45882.66666666667)</f>
        <v>45882.66667</v>
      </c>
      <c r="B721" s="3">
        <f>IFERROR(__xludf.DUMMYFUNCTION("""COMPUTED_VALUE"""),341.5)</f>
        <v>341.5</v>
      </c>
      <c r="C721" s="3">
        <f>IFERROR(__xludf.DUMMYFUNCTION("""COMPUTED_VALUE"""),348.98)</f>
        <v>348.98</v>
      </c>
      <c r="D721" s="3">
        <f>IFERROR(__xludf.DUMMYFUNCTION("""COMPUTED_VALUE"""),338.2)</f>
        <v>338.2</v>
      </c>
      <c r="E721" s="3">
        <f>IFERROR(__xludf.DUMMYFUNCTION("""COMPUTED_VALUE"""),339.38)</f>
        <v>339.38</v>
      </c>
      <c r="F721" s="3">
        <f>IFERROR(__xludf.DUMMYFUNCTION("""COMPUTED_VALUE"""),6.7838892E7)</f>
        <v>67838892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">
        <f>IFERROR(__xludf.DUMMYFUNCTION("""COMPUTED_VALUE"""),45883.66666666667)</f>
        <v>45883.66667</v>
      </c>
      <c r="B722" s="3">
        <f>IFERROR(__xludf.DUMMYFUNCTION("""COMPUTED_VALUE"""),335.76)</f>
        <v>335.76</v>
      </c>
      <c r="C722" s="3">
        <f>IFERROR(__xludf.DUMMYFUNCTION("""COMPUTED_VALUE"""),340.47)</f>
        <v>340.47</v>
      </c>
      <c r="D722" s="3">
        <f>IFERROR(__xludf.DUMMYFUNCTION("""COMPUTED_VALUE"""),330.4)</f>
        <v>330.4</v>
      </c>
      <c r="E722" s="3">
        <f>IFERROR(__xludf.DUMMYFUNCTION("""COMPUTED_VALUE"""),335.58)</f>
        <v>335.58</v>
      </c>
      <c r="F722" s="3">
        <f>IFERROR(__xludf.DUMMYFUNCTION("""COMPUTED_VALUE"""),7.5000662E7)</f>
        <v>75000662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">
        <f>IFERROR(__xludf.DUMMYFUNCTION("""COMPUTED_VALUE"""),45884.66666666667)</f>
        <v>45884.66667</v>
      </c>
      <c r="B723" s="3">
        <f>IFERROR(__xludf.DUMMYFUNCTION("""COMPUTED_VALUE"""),337.66)</f>
        <v>337.66</v>
      </c>
      <c r="C723" s="3">
        <f>IFERROR(__xludf.DUMMYFUNCTION("""COMPUTED_VALUE"""),339.3)</f>
        <v>339.3</v>
      </c>
      <c r="D723" s="3">
        <f>IFERROR(__xludf.DUMMYFUNCTION("""COMPUTED_VALUE"""),327.02)</f>
        <v>327.02</v>
      </c>
      <c r="E723" s="3">
        <f>IFERROR(__xludf.DUMMYFUNCTION("""COMPUTED_VALUE"""),330.56)</f>
        <v>330.56</v>
      </c>
      <c r="F723" s="3">
        <f>IFERROR(__xludf.DUMMYFUNCTION("""COMPUTED_VALUE"""),7.4319792E7)</f>
        <v>74319792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">
        <f>IFERROR(__xludf.DUMMYFUNCTION("""COMPUTED_VALUE"""),45887.66666666667)</f>
        <v>45887.66667</v>
      </c>
      <c r="B724" s="3">
        <f>IFERROR(__xludf.DUMMYFUNCTION("""COMPUTED_VALUE"""),329.62)</f>
        <v>329.62</v>
      </c>
      <c r="C724" s="3">
        <f>IFERROR(__xludf.DUMMYFUNCTION("""COMPUTED_VALUE"""),336.27)</f>
        <v>336.27</v>
      </c>
      <c r="D724" s="3">
        <f>IFERROR(__xludf.DUMMYFUNCTION("""COMPUTED_VALUE"""),329.59)</f>
        <v>329.59</v>
      </c>
      <c r="E724" s="3">
        <f>IFERROR(__xludf.DUMMYFUNCTION("""COMPUTED_VALUE"""),335.16)</f>
        <v>335.16</v>
      </c>
      <c r="F724" s="3">
        <f>IFERROR(__xludf.DUMMYFUNCTION("""COMPUTED_VALUE"""),5.6956552E7)</f>
        <v>56956552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">
        <f>IFERROR(__xludf.DUMMYFUNCTION("""COMPUTED_VALUE"""),45888.66666666667)</f>
        <v>45888.66667</v>
      </c>
      <c r="B725" s="3">
        <f>IFERROR(__xludf.DUMMYFUNCTION("""COMPUTED_VALUE"""),335.79)</f>
        <v>335.79</v>
      </c>
      <c r="C725" s="3">
        <f>IFERROR(__xludf.DUMMYFUNCTION("""COMPUTED_VALUE"""),340.55)</f>
        <v>340.55</v>
      </c>
      <c r="D725" s="3">
        <f>IFERROR(__xludf.DUMMYFUNCTION("""COMPUTED_VALUE"""),327.85)</f>
        <v>327.85</v>
      </c>
      <c r="E725" s="3">
        <f>IFERROR(__xludf.DUMMYFUNCTION("""COMPUTED_VALUE"""),329.31)</f>
        <v>329.31</v>
      </c>
      <c r="F725" s="3">
        <f>IFERROR(__xludf.DUMMYFUNCTION("""COMPUTED_VALUE"""),7.5956002E7)</f>
        <v>75956002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">
        <f>IFERROR(__xludf.DUMMYFUNCTION("""COMPUTED_VALUE"""),45889.66666666667)</f>
        <v>45889.66667</v>
      </c>
      <c r="B726" s="3">
        <f>IFERROR(__xludf.DUMMYFUNCTION("""COMPUTED_VALUE"""),329.22)</f>
        <v>329.22</v>
      </c>
      <c r="C726" s="3">
        <f>IFERROR(__xludf.DUMMYFUNCTION("""COMPUTED_VALUE"""),331.37)</f>
        <v>331.37</v>
      </c>
      <c r="D726" s="3">
        <f>IFERROR(__xludf.DUMMYFUNCTION("""COMPUTED_VALUE"""),314.6)</f>
        <v>314.6</v>
      </c>
      <c r="E726" s="3">
        <f>IFERROR(__xludf.DUMMYFUNCTION("""COMPUTED_VALUE"""),323.9)</f>
        <v>323.9</v>
      </c>
      <c r="F726" s="3">
        <f>IFERROR(__xludf.DUMMYFUNCTION("""COMPUTED_VALUE"""),7.7481768E7)</f>
        <v>77481768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">
        <f>IFERROR(__xludf.DUMMYFUNCTION("""COMPUTED_VALUE"""),45890.66666666667)</f>
        <v>45890.66667</v>
      </c>
      <c r="B727" s="3">
        <f>IFERROR(__xludf.DUMMYFUNCTION("""COMPUTED_VALUE"""),322.08)</f>
        <v>322.08</v>
      </c>
      <c r="C727" s="3">
        <f>IFERROR(__xludf.DUMMYFUNCTION("""COMPUTED_VALUE"""),324.9)</f>
        <v>324.9</v>
      </c>
      <c r="D727" s="3">
        <f>IFERROR(__xludf.DUMMYFUNCTION("""COMPUTED_VALUE"""),318.68)</f>
        <v>318.68</v>
      </c>
      <c r="E727" s="3">
        <f>IFERROR(__xludf.DUMMYFUNCTION("""COMPUTED_VALUE"""),320.11)</f>
        <v>320.11</v>
      </c>
      <c r="F727" s="3">
        <f>IFERROR(__xludf.DUMMYFUNCTION("""COMPUTED_VALUE"""),5.5744445E7)</f>
        <v>55744445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">
        <f>IFERROR(__xludf.DUMMYFUNCTION("""COMPUTED_VALUE"""),45891.66666666667)</f>
        <v>45891.66667</v>
      </c>
      <c r="B728" s="3">
        <f>IFERROR(__xludf.DUMMYFUNCTION("""COMPUTED_VALUE"""),321.66)</f>
        <v>321.66</v>
      </c>
      <c r="C728" s="3">
        <f>IFERROR(__xludf.DUMMYFUNCTION("""COMPUTED_VALUE"""),340.25)</f>
        <v>340.25</v>
      </c>
      <c r="D728" s="3">
        <f>IFERROR(__xludf.DUMMYFUNCTION("""COMPUTED_VALUE"""),319.69)</f>
        <v>319.69</v>
      </c>
      <c r="E728" s="3">
        <f>IFERROR(__xludf.DUMMYFUNCTION("""COMPUTED_VALUE"""),340.01)</f>
        <v>340.01</v>
      </c>
      <c r="F728" s="3">
        <f>IFERROR(__xludf.DUMMYFUNCTION("""COMPUTED_VALUE"""),9.4016347E7)</f>
        <v>94016347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">
        <f>IFERROR(__xludf.DUMMYFUNCTION("""COMPUTED_VALUE"""),45894.66666666667)</f>
        <v>45894.66667</v>
      </c>
      <c r="B729" s="3">
        <f>IFERROR(__xludf.DUMMYFUNCTION("""COMPUTED_VALUE"""),338.9)</f>
        <v>338.9</v>
      </c>
      <c r="C729" s="3">
        <f>IFERROR(__xludf.DUMMYFUNCTION("""COMPUTED_VALUE"""),349.53)</f>
        <v>349.53</v>
      </c>
      <c r="D729" s="3">
        <f>IFERROR(__xludf.DUMMYFUNCTION("""COMPUTED_VALUE"""),335.03)</f>
        <v>335.03</v>
      </c>
      <c r="E729" s="3">
        <f>IFERROR(__xludf.DUMMYFUNCTION("""COMPUTED_VALUE"""),346.6)</f>
        <v>346.6</v>
      </c>
      <c r="F729" s="3">
        <f>IFERROR(__xludf.DUMMYFUNCTION("""COMPUTED_VALUE"""),8.6670037E7)</f>
        <v>86670037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">
        <f>IFERROR(__xludf.DUMMYFUNCTION("""COMPUTED_VALUE"""),45895.66666666667)</f>
        <v>45895.66667</v>
      </c>
      <c r="B730" s="3">
        <f>IFERROR(__xludf.DUMMYFUNCTION("""COMPUTED_VALUE"""),344.93)</f>
        <v>344.93</v>
      </c>
      <c r="C730" s="3">
        <f>IFERROR(__xludf.DUMMYFUNCTION("""COMPUTED_VALUE"""),351.9)</f>
        <v>351.9</v>
      </c>
      <c r="D730" s="3">
        <f>IFERROR(__xludf.DUMMYFUNCTION("""COMPUTED_VALUE"""),343.72)</f>
        <v>343.72</v>
      </c>
      <c r="E730" s="3">
        <f>IFERROR(__xludf.DUMMYFUNCTION("""COMPUTED_VALUE"""),351.67)</f>
        <v>351.67</v>
      </c>
      <c r="F730" s="3">
        <f>IFERROR(__xludf.DUMMYFUNCTION("""COMPUTED_VALUE"""),7.665155E7)</f>
        <v>76651550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">
        <f>IFERROR(__xludf.DUMMYFUNCTION("""COMPUTED_VALUE"""),45896.66666666667)</f>
        <v>45896.66667</v>
      </c>
      <c r="B731" s="3">
        <f>IFERROR(__xludf.DUMMYFUNCTION("""COMPUTED_VALUE"""),351.94)</f>
        <v>351.94</v>
      </c>
      <c r="C731" s="3">
        <f>IFERROR(__xludf.DUMMYFUNCTION("""COMPUTED_VALUE"""),355.39)</f>
        <v>355.39</v>
      </c>
      <c r="D731" s="3">
        <f>IFERROR(__xludf.DUMMYFUNCTION("""COMPUTED_VALUE"""),349.16)</f>
        <v>349.16</v>
      </c>
      <c r="E731" s="3">
        <f>IFERROR(__xludf.DUMMYFUNCTION("""COMPUTED_VALUE"""),349.6)</f>
        <v>349.6</v>
      </c>
      <c r="F731" s="3">
        <f>IFERROR(__xludf.DUMMYFUNCTION("""COMPUTED_VALUE"""),6.5519012E7)</f>
        <v>65519012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">
        <f>IFERROR(__xludf.DUMMYFUNCTION("""COMPUTED_VALUE"""),45897.66666666667)</f>
        <v>45897.66667</v>
      </c>
      <c r="B732" s="3">
        <f>IFERROR(__xludf.DUMMYFUNCTION("""COMPUTED_VALUE"""),350.91)</f>
        <v>350.91</v>
      </c>
      <c r="C732" s="3">
        <f>IFERROR(__xludf.DUMMYFUNCTION("""COMPUTED_VALUE"""),353.55)</f>
        <v>353.55</v>
      </c>
      <c r="D732" s="3">
        <f>IFERROR(__xludf.DUMMYFUNCTION("""COMPUTED_VALUE"""),340.26)</f>
        <v>340.26</v>
      </c>
      <c r="E732" s="3">
        <f>IFERROR(__xludf.DUMMYFUNCTION("""COMPUTED_VALUE"""),345.98)</f>
        <v>345.98</v>
      </c>
      <c r="F732" s="3">
        <f>IFERROR(__xludf.DUMMYFUNCTION("""COMPUTED_VALUE"""),6.7903224E7)</f>
        <v>67903224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">
        <f>IFERROR(__xludf.DUMMYFUNCTION("""COMPUTED_VALUE"""),45898.66666666667)</f>
        <v>45898.66667</v>
      </c>
      <c r="B733" s="3">
        <f>IFERROR(__xludf.DUMMYFUNCTION("""COMPUTED_VALUE"""),347.23)</f>
        <v>347.23</v>
      </c>
      <c r="C733" s="3">
        <f>IFERROR(__xludf.DUMMYFUNCTION("""COMPUTED_VALUE"""),348.75)</f>
        <v>348.75</v>
      </c>
      <c r="D733" s="3">
        <f>IFERROR(__xludf.DUMMYFUNCTION("""COMPUTED_VALUE"""),331.7)</f>
        <v>331.7</v>
      </c>
      <c r="E733" s="3">
        <f>IFERROR(__xludf.DUMMYFUNCTION("""COMPUTED_VALUE"""),333.87)</f>
        <v>333.87</v>
      </c>
      <c r="F733" s="3">
        <f>IFERROR(__xludf.DUMMYFUNCTION("""COMPUTED_VALUE"""),8.114566E7)</f>
        <v>81145660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">
        <f>IFERROR(__xludf.DUMMYFUNCTION("""COMPUTED_VALUE"""),45902.66666666667)</f>
        <v>45902.66667</v>
      </c>
      <c r="B734" s="3">
        <f>IFERROR(__xludf.DUMMYFUNCTION("""COMPUTED_VALUE"""),328.23)</f>
        <v>328.23</v>
      </c>
      <c r="C734" s="3">
        <f>IFERROR(__xludf.DUMMYFUNCTION("""COMPUTED_VALUE"""),333.33)</f>
        <v>333.33</v>
      </c>
      <c r="D734" s="3">
        <f>IFERROR(__xludf.DUMMYFUNCTION("""COMPUTED_VALUE"""),325.6)</f>
        <v>325.6</v>
      </c>
      <c r="E734" s="3">
        <f>IFERROR(__xludf.DUMMYFUNCTION("""COMPUTED_VALUE"""),329.36)</f>
        <v>329.36</v>
      </c>
      <c r="F734" s="3">
        <f>IFERROR(__xludf.DUMMYFUNCTION("""COMPUTED_VALUE"""),5.8391952E7)</f>
        <v>58391952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">
        <f>IFERROR(__xludf.DUMMYFUNCTION("""COMPUTED_VALUE"""),45903.66666666667)</f>
        <v>45903.66667</v>
      </c>
      <c r="B735" s="3">
        <f>IFERROR(__xludf.DUMMYFUNCTION("""COMPUTED_VALUE"""),335.2)</f>
        <v>335.2</v>
      </c>
      <c r="C735" s="3">
        <f>IFERROR(__xludf.DUMMYFUNCTION("""COMPUTED_VALUE"""),343.33)</f>
        <v>343.33</v>
      </c>
      <c r="D735" s="3">
        <f>IFERROR(__xludf.DUMMYFUNCTION("""COMPUTED_VALUE"""),328.51)</f>
        <v>328.51</v>
      </c>
      <c r="E735" s="3">
        <f>IFERROR(__xludf.DUMMYFUNCTION("""COMPUTED_VALUE"""),334.09)</f>
        <v>334.09</v>
      </c>
      <c r="F735" s="3">
        <f>IFERROR(__xludf.DUMMYFUNCTION("""COMPUTED_VALUE"""),8.8733288E7)</f>
        <v>88733288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">
        <f>IFERROR(__xludf.DUMMYFUNCTION("""COMPUTED_VALUE"""),45904.66666666667)</f>
        <v>45904.66667</v>
      </c>
      <c r="B736" s="3">
        <f>IFERROR(__xludf.DUMMYFUNCTION("""COMPUTED_VALUE"""),336.15)</f>
        <v>336.15</v>
      </c>
      <c r="C736" s="3">
        <f>IFERROR(__xludf.DUMMYFUNCTION("""COMPUTED_VALUE"""),338.89)</f>
        <v>338.89</v>
      </c>
      <c r="D736" s="3">
        <f>IFERROR(__xludf.DUMMYFUNCTION("""COMPUTED_VALUE"""),331.48)</f>
        <v>331.48</v>
      </c>
      <c r="E736" s="3">
        <f>IFERROR(__xludf.DUMMYFUNCTION("""COMPUTED_VALUE"""),338.53)</f>
        <v>338.53</v>
      </c>
      <c r="F736" s="3">
        <f>IFERROR(__xludf.DUMMYFUNCTION("""COMPUTED_VALUE"""),6.0711033E7)</f>
        <v>60711033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">
        <f>IFERROR(__xludf.DUMMYFUNCTION("""COMPUTED_VALUE"""),45905.66666666667)</f>
        <v>45905.66667</v>
      </c>
      <c r="B737" s="3">
        <f>IFERROR(__xludf.DUMMYFUNCTION("""COMPUTED_VALUE"""),348.0)</f>
        <v>348</v>
      </c>
      <c r="C737" s="3">
        <f>IFERROR(__xludf.DUMMYFUNCTION("""COMPUTED_VALUE"""),355.87)</f>
        <v>355.87</v>
      </c>
      <c r="D737" s="3">
        <f>IFERROR(__xludf.DUMMYFUNCTION("""COMPUTED_VALUE"""),344.68)</f>
        <v>344.68</v>
      </c>
      <c r="E737" s="3">
        <f>IFERROR(__xludf.DUMMYFUNCTION("""COMPUTED_VALUE"""),350.84)</f>
        <v>350.84</v>
      </c>
      <c r="F737" s="3">
        <f>IFERROR(__xludf.DUMMYFUNCTION("""COMPUTED_VALUE"""),1.08989785E8)</f>
        <v>108989785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">
        <f>IFERROR(__xludf.DUMMYFUNCTION("""COMPUTED_VALUE"""),45908.66666666667)</f>
        <v>45908.66667</v>
      </c>
      <c r="B738" s="3">
        <f>IFERROR(__xludf.DUMMYFUNCTION("""COMPUTED_VALUE"""),354.64)</f>
        <v>354.64</v>
      </c>
      <c r="C738" s="3">
        <f>IFERROR(__xludf.DUMMYFUNCTION("""COMPUTED_VALUE"""),358.44)</f>
        <v>358.44</v>
      </c>
      <c r="D738" s="3">
        <f>IFERROR(__xludf.DUMMYFUNCTION("""COMPUTED_VALUE"""),344.84)</f>
        <v>344.84</v>
      </c>
      <c r="E738" s="3">
        <f>IFERROR(__xludf.DUMMYFUNCTION("""COMPUTED_VALUE"""),346.4)</f>
        <v>346.4</v>
      </c>
      <c r="F738" s="3">
        <f>IFERROR(__xludf.DUMMYFUNCTION("""COMPUTED_VALUE"""),7.520829E7)</f>
        <v>75208290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">
        <f>IFERROR(__xludf.DUMMYFUNCTION("""COMPUTED_VALUE"""),45909.66666666667)</f>
        <v>45909.66667</v>
      </c>
      <c r="B739" s="3">
        <f>IFERROR(__xludf.DUMMYFUNCTION("""COMPUTED_VALUE"""),348.44)</f>
        <v>348.44</v>
      </c>
      <c r="C739" s="3">
        <f>IFERROR(__xludf.DUMMYFUNCTION("""COMPUTED_VALUE"""),350.77)</f>
        <v>350.77</v>
      </c>
      <c r="D739" s="3">
        <f>IFERROR(__xludf.DUMMYFUNCTION("""COMPUTED_VALUE"""),343.82)</f>
        <v>343.82</v>
      </c>
      <c r="E739" s="3">
        <f>IFERROR(__xludf.DUMMYFUNCTION("""COMPUTED_VALUE"""),346.97)</f>
        <v>346.97</v>
      </c>
      <c r="F739" s="3">
        <f>IFERROR(__xludf.DUMMYFUNCTION("""COMPUTED_VALUE"""),5.3815991E7)</f>
        <v>53815991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">
        <f>IFERROR(__xludf.DUMMYFUNCTION("""COMPUTED_VALUE"""),45910.66666666667)</f>
        <v>45910.66667</v>
      </c>
      <c r="B740" s="3">
        <f>IFERROR(__xludf.DUMMYFUNCTION("""COMPUTED_VALUE"""),350.55)</f>
        <v>350.55</v>
      </c>
      <c r="C740" s="3">
        <f>IFERROR(__xludf.DUMMYFUNCTION("""COMPUTED_VALUE"""),356.33)</f>
        <v>356.33</v>
      </c>
      <c r="D740" s="3">
        <f>IFERROR(__xludf.DUMMYFUNCTION("""COMPUTED_VALUE"""),346.07)</f>
        <v>346.07</v>
      </c>
      <c r="E740" s="3">
        <f>IFERROR(__xludf.DUMMYFUNCTION("""COMPUTED_VALUE"""),347.79)</f>
        <v>347.79</v>
      </c>
      <c r="F740" s="3">
        <f>IFERROR(__xludf.DUMMYFUNCTION("""COMPUTED_VALUE"""),7.2121679E7)</f>
        <v>72121679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">
        <f>IFERROR(__xludf.DUMMYFUNCTION("""COMPUTED_VALUE"""),45911.66666666667)</f>
        <v>45911.66667</v>
      </c>
      <c r="B741" s="3">
        <f>IFERROR(__xludf.DUMMYFUNCTION("""COMPUTED_VALUE"""),350.17)</f>
        <v>350.17</v>
      </c>
      <c r="C741" s="3">
        <f>IFERROR(__xludf.DUMMYFUNCTION("""COMPUTED_VALUE"""),368.99)</f>
        <v>368.99</v>
      </c>
      <c r="D741" s="3">
        <f>IFERROR(__xludf.DUMMYFUNCTION("""COMPUTED_VALUE"""),347.6)</f>
        <v>347.6</v>
      </c>
      <c r="E741" s="3">
        <f>IFERROR(__xludf.DUMMYFUNCTION("""COMPUTED_VALUE"""),368.81)</f>
        <v>368.81</v>
      </c>
      <c r="F741" s="3">
        <f>IFERROR(__xludf.DUMMYFUNCTION("""COMPUTED_VALUE"""),1.0375601E8)</f>
        <v>103756010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">
        <f>IFERROR(__xludf.DUMMYFUNCTION("""COMPUTED_VALUE"""),45912.66666666667)</f>
        <v>45912.66667</v>
      </c>
      <c r="B742" s="3">
        <f>IFERROR(__xludf.DUMMYFUNCTION("""COMPUTED_VALUE"""),370.94)</f>
        <v>370.94</v>
      </c>
      <c r="C742" s="3">
        <f>IFERROR(__xludf.DUMMYFUNCTION("""COMPUTED_VALUE"""),396.69)</f>
        <v>396.69</v>
      </c>
      <c r="D742" s="3">
        <f>IFERROR(__xludf.DUMMYFUNCTION("""COMPUTED_VALUE"""),370.24)</f>
        <v>370.24</v>
      </c>
      <c r="E742" s="3">
        <f>IFERROR(__xludf.DUMMYFUNCTION("""COMPUTED_VALUE"""),395.94)</f>
        <v>395.94</v>
      </c>
      <c r="F742" s="3">
        <f>IFERROR(__xludf.DUMMYFUNCTION("""COMPUTED_VALUE"""),1.68156391E8)</f>
        <v>168156391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">
        <f>IFERROR(__xludf.DUMMYFUNCTION("""COMPUTED_VALUE"""),45915.66666666667)</f>
        <v>45915.66667</v>
      </c>
      <c r="B743" s="3">
        <f>IFERROR(__xludf.DUMMYFUNCTION("""COMPUTED_VALUE"""),423.13)</f>
        <v>423.13</v>
      </c>
      <c r="C743" s="3">
        <f>IFERROR(__xludf.DUMMYFUNCTION("""COMPUTED_VALUE"""),425.7)</f>
        <v>425.7</v>
      </c>
      <c r="D743" s="3">
        <f>IFERROR(__xludf.DUMMYFUNCTION("""COMPUTED_VALUE"""),402.43)</f>
        <v>402.43</v>
      </c>
      <c r="E743" s="3">
        <f>IFERROR(__xludf.DUMMYFUNCTION("""COMPUTED_VALUE"""),410.04)</f>
        <v>410.04</v>
      </c>
      <c r="F743" s="3">
        <f>IFERROR(__xludf.DUMMYFUNCTION("""COMPUTED_VALUE"""),1.63823667E8)</f>
        <v>163823667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">
        <f>IFERROR(__xludf.DUMMYFUNCTION("""COMPUTED_VALUE"""),45916.66666666667)</f>
        <v>45916.66667</v>
      </c>
      <c r="B744" s="3">
        <f>IFERROR(__xludf.DUMMYFUNCTION("""COMPUTED_VALUE"""),414.5)</f>
        <v>414.5</v>
      </c>
      <c r="C744" s="3">
        <f>IFERROR(__xludf.DUMMYFUNCTION("""COMPUTED_VALUE"""),423.25)</f>
        <v>423.25</v>
      </c>
      <c r="D744" s="3">
        <f>IFERROR(__xludf.DUMMYFUNCTION("""COMPUTED_VALUE"""),411.43)</f>
        <v>411.43</v>
      </c>
      <c r="E744" s="3">
        <f>IFERROR(__xludf.DUMMYFUNCTION("""COMPUTED_VALUE"""),421.62)</f>
        <v>421.62</v>
      </c>
      <c r="F744" s="3">
        <f>IFERROR(__xludf.DUMMYFUNCTION("""COMPUTED_VALUE"""),1.04285721E8)</f>
        <v>104285721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">
        <f>IFERROR(__xludf.DUMMYFUNCTION("""COMPUTED_VALUE"""),45917.66666666667)</f>
        <v>45917.66667</v>
      </c>
      <c r="B745" s="3">
        <f>IFERROR(__xludf.DUMMYFUNCTION("""COMPUTED_VALUE"""),415.75)</f>
        <v>415.75</v>
      </c>
      <c r="C745" s="3">
        <f>IFERROR(__xludf.DUMMYFUNCTION("""COMPUTED_VALUE"""),428.31)</f>
        <v>428.31</v>
      </c>
      <c r="D745" s="3">
        <f>IFERROR(__xludf.DUMMYFUNCTION("""COMPUTED_VALUE"""),409.67)</f>
        <v>409.67</v>
      </c>
      <c r="E745" s="3">
        <f>IFERROR(__xludf.DUMMYFUNCTION("""COMPUTED_VALUE"""),425.86)</f>
        <v>425.86</v>
      </c>
      <c r="F745" s="3">
        <f>IFERROR(__xludf.DUMMYFUNCTION("""COMPUTED_VALUE"""),1.06133532E8)</f>
        <v>106133532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">
        <f>IFERROR(__xludf.DUMMYFUNCTION("""COMPUTED_VALUE"""),45918.66666666667)</f>
        <v>45918.66667</v>
      </c>
      <c r="B746" s="3">
        <f>IFERROR(__xludf.DUMMYFUNCTION("""COMPUTED_VALUE"""),428.87)</f>
        <v>428.87</v>
      </c>
      <c r="C746" s="3">
        <f>IFERROR(__xludf.DUMMYFUNCTION("""COMPUTED_VALUE"""),432.22)</f>
        <v>432.22</v>
      </c>
      <c r="D746" s="3">
        <f>IFERROR(__xludf.DUMMYFUNCTION("""COMPUTED_VALUE"""),416.56)</f>
        <v>416.56</v>
      </c>
      <c r="E746" s="3">
        <f>IFERROR(__xludf.DUMMYFUNCTION("""COMPUTED_VALUE"""),416.85)</f>
        <v>416.85</v>
      </c>
      <c r="F746" s="3">
        <f>IFERROR(__xludf.DUMMYFUNCTION("""COMPUTED_VALUE"""),9.0454509E7)</f>
        <v>90454509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">
        <f>IFERROR(__xludf.DUMMYFUNCTION("""COMPUTED_VALUE"""),45919.66666666667)</f>
        <v>45919.66667</v>
      </c>
      <c r="B747" s="3">
        <f>IFERROR(__xludf.DUMMYFUNCTION("""COMPUTED_VALUE"""),421.82)</f>
        <v>421.82</v>
      </c>
      <c r="C747" s="3">
        <f>IFERROR(__xludf.DUMMYFUNCTION("""COMPUTED_VALUE"""),429.47)</f>
        <v>429.47</v>
      </c>
      <c r="D747" s="3">
        <f>IFERROR(__xludf.DUMMYFUNCTION("""COMPUTED_VALUE"""),421.72)</f>
        <v>421.72</v>
      </c>
      <c r="E747" s="3">
        <f>IFERROR(__xludf.DUMMYFUNCTION("""COMPUTED_VALUE"""),426.07)</f>
        <v>426.07</v>
      </c>
      <c r="F747" s="3">
        <f>IFERROR(__xludf.DUMMYFUNCTION("""COMPUTED_VALUE"""),9.3131034E7)</f>
        <v>93131034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">
        <f>IFERROR(__xludf.DUMMYFUNCTION("""COMPUTED_VALUE"""),45922.66666666667)</f>
        <v>45922.66667</v>
      </c>
      <c r="B748" s="3">
        <f>IFERROR(__xludf.DUMMYFUNCTION("""COMPUTED_VALUE"""),431.11)</f>
        <v>431.11</v>
      </c>
      <c r="C748" s="3">
        <f>IFERROR(__xludf.DUMMYFUNCTION("""COMPUTED_VALUE"""),444.98)</f>
        <v>444.98</v>
      </c>
      <c r="D748" s="3">
        <f>IFERROR(__xludf.DUMMYFUNCTION("""COMPUTED_VALUE"""),429.13)</f>
        <v>429.13</v>
      </c>
      <c r="E748" s="3">
        <f>IFERROR(__xludf.DUMMYFUNCTION("""COMPUTED_VALUE"""),434.21)</f>
        <v>434.21</v>
      </c>
      <c r="F748" s="3">
        <f>IFERROR(__xludf.DUMMYFUNCTION("""COMPUTED_VALUE"""),9.7108777E7)</f>
        <v>97108777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">
        <f>IFERROR(__xludf.DUMMYFUNCTION("""COMPUTED_VALUE"""),45923.66666666667)</f>
        <v>45923.66667</v>
      </c>
      <c r="B749" s="3">
        <f>IFERROR(__xludf.DUMMYFUNCTION("""COMPUTED_VALUE"""),439.88)</f>
        <v>439.88</v>
      </c>
      <c r="C749" s="3">
        <f>IFERROR(__xludf.DUMMYFUNCTION("""COMPUTED_VALUE"""),440.97)</f>
        <v>440.97</v>
      </c>
      <c r="D749" s="3">
        <f>IFERROR(__xludf.DUMMYFUNCTION("""COMPUTED_VALUE"""),423.72)</f>
        <v>423.72</v>
      </c>
      <c r="E749" s="3">
        <f>IFERROR(__xludf.DUMMYFUNCTION("""COMPUTED_VALUE"""),425.85)</f>
        <v>425.85</v>
      </c>
      <c r="F749" s="3">
        <f>IFERROR(__xludf.DUMMYFUNCTION("""COMPUTED_VALUE"""),8.3422691E7)</f>
        <v>83422691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">
        <f>IFERROR(__xludf.DUMMYFUNCTION("""COMPUTED_VALUE"""),45924.66666666667)</f>
        <v>45924.66667</v>
      </c>
      <c r="B750" s="3">
        <f>IFERROR(__xludf.DUMMYFUNCTION("""COMPUTED_VALUE"""),439.88)</f>
        <v>439.88</v>
      </c>
      <c r="C750" s="3">
        <f>IFERROR(__xludf.DUMMYFUNCTION("""COMPUTED_VALUE"""),440.97)</f>
        <v>440.97</v>
      </c>
      <c r="D750" s="3">
        <f>IFERROR(__xludf.DUMMYFUNCTION("""COMPUTED_VALUE"""),423.72)</f>
        <v>423.72</v>
      </c>
      <c r="E750" s="3">
        <f>IFERROR(__xludf.DUMMYFUNCTION("""COMPUTED_VALUE"""),425.85)</f>
        <v>425.85</v>
      </c>
      <c r="F750" s="3">
        <f>IFERROR(__xludf.DUMMYFUNCTION("""COMPUTED_VALUE"""),1669878.0)</f>
        <v>1669878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">
        <f>IFERROR(__xludf.DUMMYFUNCTION("""COMPUTED_VALUE"""),45926.66666666667)</f>
        <v>45926.66667</v>
      </c>
      <c r="B751" s="3">
        <f>IFERROR(__xludf.DUMMYFUNCTION("""COMPUTED_VALUE"""),428.3)</f>
        <v>428.3</v>
      </c>
      <c r="C751" s="3">
        <f>IFERROR(__xludf.DUMMYFUNCTION("""COMPUTED_VALUE"""),440.47)</f>
        <v>440.47</v>
      </c>
      <c r="D751" s="3">
        <f>IFERROR(__xludf.DUMMYFUNCTION("""COMPUTED_VALUE"""),421.02)</f>
        <v>421.02</v>
      </c>
      <c r="E751" s="3">
        <f>IFERROR(__xludf.DUMMYFUNCTION("""COMPUTED_VALUE"""),440.4)</f>
        <v>440.4</v>
      </c>
      <c r="F751" s="3">
        <f>IFERROR(__xludf.DUMMYFUNCTION("""COMPUTED_VALUE"""),1.0162816E8)</f>
        <v>101628160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">
        <f>IFERROR(__xludf.DUMMYFUNCTION("""COMPUTED_VALUE"""),45929.66666666667)</f>
        <v>45929.66667</v>
      </c>
      <c r="B752" s="3">
        <f>IFERROR(__xludf.DUMMYFUNCTION("""COMPUTED_VALUE"""),444.35)</f>
        <v>444.35</v>
      </c>
      <c r="C752" s="3">
        <f>IFERROR(__xludf.DUMMYFUNCTION("""COMPUTED_VALUE"""),450.98)</f>
        <v>450.98</v>
      </c>
      <c r="D752" s="3">
        <f>IFERROR(__xludf.DUMMYFUNCTION("""COMPUTED_VALUE"""),439.5)</f>
        <v>439.5</v>
      </c>
      <c r="E752" s="3">
        <f>IFERROR(__xludf.DUMMYFUNCTION("""COMPUTED_VALUE"""),443.21)</f>
        <v>443.21</v>
      </c>
      <c r="F752" s="3">
        <f>IFERROR(__xludf.DUMMYFUNCTION("""COMPUTED_VALUE"""),7.949151E7)</f>
        <v>79491510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">
        <f>IFERROR(__xludf.DUMMYFUNCTION("""COMPUTED_VALUE"""),45930.66666666667)</f>
        <v>45930.66667</v>
      </c>
      <c r="B753" s="3">
        <f>IFERROR(__xludf.DUMMYFUNCTION("""COMPUTED_VALUE"""),441.52)</f>
        <v>441.52</v>
      </c>
      <c r="C753" s="3">
        <f>IFERROR(__xludf.DUMMYFUNCTION("""COMPUTED_VALUE"""),445.0)</f>
        <v>445</v>
      </c>
      <c r="D753" s="3">
        <f>IFERROR(__xludf.DUMMYFUNCTION("""COMPUTED_VALUE"""),433.12)</f>
        <v>433.12</v>
      </c>
      <c r="E753" s="3">
        <f>IFERROR(__xludf.DUMMYFUNCTION("""COMPUTED_VALUE"""),444.72)</f>
        <v>444.72</v>
      </c>
      <c r="F753" s="3">
        <f>IFERROR(__xludf.DUMMYFUNCTION("""COMPUTED_VALUE"""),7.435796E7)</f>
        <v>74357960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">
        <f>IFERROR(__xludf.DUMMYFUNCTION("""COMPUTED_VALUE"""),45931.66666666667)</f>
        <v>45931.66667</v>
      </c>
      <c r="B754" s="3">
        <f>IFERROR(__xludf.DUMMYFUNCTION("""COMPUTED_VALUE"""),443.8)</f>
        <v>443.8</v>
      </c>
      <c r="C754" s="3">
        <f>IFERROR(__xludf.DUMMYFUNCTION("""COMPUTED_VALUE"""),462.29)</f>
        <v>462.29</v>
      </c>
      <c r="D754" s="3">
        <f>IFERROR(__xludf.DUMMYFUNCTION("""COMPUTED_VALUE"""),440.75)</f>
        <v>440.75</v>
      </c>
      <c r="E754" s="3">
        <f>IFERROR(__xludf.DUMMYFUNCTION("""COMPUTED_VALUE"""),459.46)</f>
        <v>459.46</v>
      </c>
      <c r="F754" s="3">
        <f>IFERROR(__xludf.DUMMYFUNCTION("""COMPUTED_VALUE"""),9.8122285E7)</f>
        <v>98122285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">
        <f>IFERROR(__xludf.DUMMYFUNCTION("""COMPUTED_VALUE"""),45932.66666666667)</f>
        <v>45932.66667</v>
      </c>
      <c r="B755" s="3">
        <f>IFERROR(__xludf.DUMMYFUNCTION("""COMPUTED_VALUE"""),470.54)</f>
        <v>470.54</v>
      </c>
      <c r="C755" s="3">
        <f>IFERROR(__xludf.DUMMYFUNCTION("""COMPUTED_VALUE"""),470.75)</f>
        <v>470.75</v>
      </c>
      <c r="D755" s="3">
        <f>IFERROR(__xludf.DUMMYFUNCTION("""COMPUTED_VALUE"""),435.57)</f>
        <v>435.57</v>
      </c>
      <c r="E755" s="3">
        <f>IFERROR(__xludf.DUMMYFUNCTION("""COMPUTED_VALUE"""),436.0)</f>
        <v>436</v>
      </c>
      <c r="F755" s="3">
        <f>IFERROR(__xludf.DUMMYFUNCTION("""COMPUTED_VALUE"""),1.3700895E8)</f>
        <v>137008950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">
        <f>IFERROR(__xludf.DUMMYFUNCTION("""COMPUTED_VALUE"""),45933.66666666667)</f>
        <v>45933.66667</v>
      </c>
      <c r="B756" s="3">
        <f>IFERROR(__xludf.DUMMYFUNCTION("""COMPUTED_VALUE"""),443.29)</f>
        <v>443.29</v>
      </c>
      <c r="C756" s="3">
        <f>IFERROR(__xludf.DUMMYFUNCTION("""COMPUTED_VALUE"""),446.77)</f>
        <v>446.77</v>
      </c>
      <c r="D756" s="3">
        <f>IFERROR(__xludf.DUMMYFUNCTION("""COMPUTED_VALUE"""),416.58)</f>
        <v>416.58</v>
      </c>
      <c r="E756" s="3">
        <f>IFERROR(__xludf.DUMMYFUNCTION("""COMPUTED_VALUE"""),429.83)</f>
        <v>429.83</v>
      </c>
      <c r="F756" s="3">
        <f>IFERROR(__xludf.DUMMYFUNCTION("""COMPUTED_VALUE"""),1.3318818E8)</f>
        <v>133188180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